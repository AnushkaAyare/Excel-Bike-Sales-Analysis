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166925"/>
  <mc:AlternateContent xmlns:mc="http://schemas.openxmlformats.org/markup-compatibility/2006">
    <mc:Choice Requires="x15">
      <x15ac:absPath xmlns:x15ac="http://schemas.microsoft.com/office/spreadsheetml/2010/11/ac" url="C:\Project to be uploaded\"/>
    </mc:Choice>
  </mc:AlternateContent>
  <xr:revisionPtr revIDLastSave="0" documentId="13_ncr:1_{2CCCA99C-2EA4-4C84-BCE8-41053DDE463D}"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_sheet" sheetId="2" r:id="rId2"/>
    <sheet name="Pivot_Table " sheetId="3" r:id="rId3"/>
    <sheet name="DashBoard" sheetId="4"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 name="sum">Working_sheet!$M$2</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4" i="2"/>
  <c r="M5" i="2"/>
  <c r="M3"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0" i="2"/>
  <c r="M31" i="2"/>
  <c r="M32" i="2"/>
  <c r="M6" i="2"/>
  <c r="M7" i="2"/>
  <c r="M8" i="2"/>
  <c r="M9" i="2"/>
  <c r="M10" i="2"/>
  <c r="M11" i="2"/>
  <c r="M12" i="2"/>
  <c r="M13" i="2"/>
  <c r="M14" i="2"/>
  <c r="M15" i="2"/>
  <c r="M16" i="2"/>
  <c r="M17" i="2"/>
  <c r="M18" i="2"/>
  <c r="M19" i="2"/>
  <c r="M20" i="2"/>
  <c r="M21" i="2"/>
  <c r="M22" i="2"/>
  <c r="M23" i="2"/>
  <c r="M24" i="2"/>
  <c r="M25" i="2"/>
  <c r="M26" i="2"/>
  <c r="M27" i="2"/>
  <c r="M28" i="2"/>
  <c r="M29" i="2"/>
</calcChain>
</file>

<file path=xl/sharedStrings.xml><?xml version="1.0" encoding="utf-8"?>
<sst xmlns="http://schemas.openxmlformats.org/spreadsheetml/2006/main" count="16286" uniqueCount="56">
  <si>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</si>
  <si>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</si>
  <si>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</si>
  <si>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</si>
  <si>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</si>
  <si>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</si>
  <si>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</si>
  <si>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</si>
  <si>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</si>
  <si>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</si>
  <si>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</si>
  <si>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</si>
  <si>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</si>
  <si>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</si>
  <si>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</si>
  <si>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</si>
  <si>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</si>
  <si>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</si>
  <si>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</si>
  <si>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</si>
  <si>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</si>
  <si>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</si>
  <si>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</si>
  <si>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</si>
  <si>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</si>
  <si>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</si>
  <si>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</si>
  <si>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</si>
  <si>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</si>
  <si>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</si>
  <si>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</si>
  <si>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</si>
  <si>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</si>
  <si>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</si>
  <si>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</si>
  <si>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</si>
  <si>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</si>
  <si>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</si>
  <si>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</si>
  <si>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</si>
  <si>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</si>
  <si>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 xml:space="preserve"> </t>
  </si>
  <si>
    <t>Row Labels</t>
  </si>
  <si>
    <t>Grand Total</t>
  </si>
  <si>
    <t>Average of Income</t>
  </si>
  <si>
    <t>Column Labels</t>
  </si>
  <si>
    <t>Count of Purchased Bike</t>
  </si>
  <si>
    <t>Adolescent</t>
  </si>
  <si>
    <t>Middle Age</t>
  </si>
  <si>
    <t>OLD</t>
  </si>
  <si>
    <t xml:space="preserve">     </t>
  </si>
  <si>
    <t>age wise</t>
  </si>
  <si>
    <t>Slicer</t>
  </si>
  <si>
    <t xml:space="preserve">Education </t>
  </si>
  <si>
    <t>children</t>
  </si>
  <si>
    <t xml:space="preserve">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</si>
</sst>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mbria"/>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4"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sp3d/>
        </c:spPr>
        <c:dLbl>
          <c:idx val="0"/>
          <c:layout>
            <c:manualLayout>
              <c:x val="8.0115062893478403E-2"/>
              <c:y val="-1.40579719770379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sp3d/>
        </c:spPr>
        <c:dLbl>
          <c:idx val="0"/>
          <c:layout>
            <c:manualLayout>
              <c:x val="-1.6575530253823141E-2"/>
              <c:y val="-1.8743962636050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'Pivot_Table '!$B$3:$B$4</c:f>
              <c:strCache>
                <c:ptCount val="1"/>
                <c:pt idx="0">
                  <c:v>No</c:v>
                </c:pt>
              </c:strCache>
            </c:strRef>
          </c:tx>
          <c:spPr>
            <a:solidFill>
              <a:schemeClr val="accent5">
                <a:lumMod val="40000"/>
                <a:lumOff val="60000"/>
              </a:schemeClr>
            </a:solidFill>
            <a:ln>
              <a:noFill/>
            </a:ln>
            <a:effectLst/>
            <a:sp3d/>
          </c:spPr>
          <c:invertIfNegative val="0"/>
          <c:dPt>
            <c:idx val="1"/>
            <c:invertIfNegative val="0"/>
            <c:bubble3D val="0"/>
            <c:extLst>
              <c:ext xmlns:c16="http://schemas.microsoft.com/office/drawing/2014/chart" uri="{C3380CC4-5D6E-409C-BE32-E72D297353CC}">
                <c16:uniqueId val="{00000001-E587-4BB4-83D4-4E88B6A045A1}"/>
              </c:ext>
            </c:extLst>
          </c:dPt>
          <c:dLbls>
            <c:dLbl>
              <c:idx val="1"/>
              <c:layout>
                <c:manualLayout>
                  <c:x val="-1.6575530253823141E-2"/>
                  <c:y val="-1.8743962636050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87-4BB4-83D4-4E88B6A045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'!$A$5:$A$7</c:f>
              <c:strCache>
                <c:ptCount val="2"/>
                <c:pt idx="0">
                  <c:v>Female</c:v>
                </c:pt>
                <c:pt idx="1">
                  <c:v>Male</c:v>
                </c:pt>
              </c:strCache>
            </c:strRef>
          </c:cat>
          <c:val>
            <c:numRef>
              <c:f>'Pivot_Table '!$B$5:$B$7</c:f>
              <c:numCache>
                <c:formatCode>"$"#,##0</c:formatCode>
                <c:ptCount val="2"/>
                <c:pt idx="0">
                  <c:v>66428.571428571435</c:v>
                </c:pt>
                <c:pt idx="1">
                  <c:v>75384.61538461539</c:v>
                </c:pt>
              </c:numCache>
            </c:numRef>
          </c:val>
          <c:extLst>
            <c:ext xmlns:c16="http://schemas.microsoft.com/office/drawing/2014/chart" uri="{C3380CC4-5D6E-409C-BE32-E72D297353CC}">
              <c16:uniqueId val="{00000000-7B3C-41C6-844A-E354FFB53E9B}"/>
            </c:ext>
          </c:extLst>
        </c:ser>
        <c:ser>
          <c:idx val="1"/>
          <c:order val="1"/>
          <c:tx>
            <c:strRef>
              <c:f>'Pivot_Table '!$C$3:$C$4</c:f>
              <c:strCache>
                <c:ptCount val="1"/>
                <c:pt idx="0">
                  <c:v>Yes</c:v>
                </c:pt>
              </c:strCache>
            </c:strRef>
          </c:tx>
          <c:spPr>
            <a:solidFill>
              <a:schemeClr val="accent5">
                <a:lumMod val="75000"/>
              </a:schemeClr>
            </a:solidFill>
            <a:ln>
              <a:noFill/>
            </a:ln>
            <a:effectLst/>
            <a:sp3d/>
          </c:spPr>
          <c:invertIfNegative val="0"/>
          <c:dPt>
            <c:idx val="1"/>
            <c:invertIfNegative val="0"/>
            <c:bubble3D val="0"/>
            <c:extLst>
              <c:ext xmlns:c16="http://schemas.microsoft.com/office/drawing/2014/chart" uri="{C3380CC4-5D6E-409C-BE32-E72D297353CC}">
                <c16:uniqueId val="{00000000-C36C-4EB6-984C-05ACEFDC5DA3}"/>
              </c:ext>
            </c:extLst>
          </c:dPt>
          <c:dLbls>
            <c:dLbl>
              <c:idx val="1"/>
              <c:layout>
                <c:manualLayout>
                  <c:x val="8.0115062893478403E-2"/>
                  <c:y val="-1.4057971977037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6C-4EB6-984C-05ACEFDC5D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'!$A$5:$A$7</c:f>
              <c:strCache>
                <c:ptCount val="2"/>
                <c:pt idx="0">
                  <c:v>Female</c:v>
                </c:pt>
                <c:pt idx="1">
                  <c:v>Male</c:v>
                </c:pt>
              </c:strCache>
            </c:strRef>
          </c:cat>
          <c:val>
            <c:numRef>
              <c:f>'Pivot_Table '!$C$5:$C$7</c:f>
              <c:numCache>
                <c:formatCode>"$"#,##0</c:formatCode>
                <c:ptCount val="2"/>
                <c:pt idx="0">
                  <c:v>66000</c:v>
                </c:pt>
                <c:pt idx="1">
                  <c:v>70625</c:v>
                </c:pt>
              </c:numCache>
            </c:numRef>
          </c:val>
          <c:extLst>
            <c:ext xmlns:c16="http://schemas.microsoft.com/office/drawing/2014/chart" uri="{C3380CC4-5D6E-409C-BE32-E72D297353CC}">
              <c16:uniqueId val="{00000002-E587-4BB4-83D4-4E88B6A045A1}"/>
            </c:ext>
          </c:extLst>
        </c:ser>
        <c:dLbls>
          <c:showLegendKey val="0"/>
          <c:showVal val="1"/>
          <c:showCatName val="0"/>
          <c:showSerName val="0"/>
          <c:showPercent val="0"/>
          <c:showBubbleSize val="0"/>
        </c:dLbls>
        <c:gapWidth val="150"/>
        <c:shape val="box"/>
        <c:axId val="1414729104"/>
        <c:axId val="1414729584"/>
        <c:axId val="1557314592"/>
      </c:bar3DChart>
      <c:catAx>
        <c:axId val="14147291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729584"/>
        <c:crosses val="autoZero"/>
        <c:auto val="1"/>
        <c:lblAlgn val="ctr"/>
        <c:lblOffset val="100"/>
        <c:noMultiLvlLbl val="0"/>
      </c:catAx>
      <c:valAx>
        <c:axId val="141472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729104"/>
        <c:crosses val="autoZero"/>
        <c:crossBetween val="between"/>
      </c:valAx>
      <c:serAx>
        <c:axId val="155731459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72958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5">
                <a:lumMod val="75000"/>
              </a:schemeClr>
            </a:solidFill>
          </a:ln>
          <a:effectLst/>
          <a:sp3d>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5">
                <a:lumMod val="40000"/>
                <a:lumOff val="60000"/>
              </a:schemeClr>
            </a:solidFill>
          </a:ln>
          <a:effectLst/>
          <a:sp3d>
            <a:contourClr>
              <a:schemeClr val="accent5">
                <a:lumMod val="40000"/>
                <a:lumOff val="60000"/>
              </a:schemeClr>
            </a:contourClr>
          </a:sp3d>
        </c:spPr>
      </c:pivotFmt>
      <c:pivotFmt>
        <c:idx val="3"/>
        <c:spPr>
          <a:solidFill>
            <a:schemeClr val="accent1"/>
          </a:solidFill>
          <a:ln>
            <a:solidFill>
              <a:schemeClr val="accent5">
                <a:lumMod val="40000"/>
                <a:lumOff val="60000"/>
              </a:schemeClr>
            </a:solidFill>
          </a:ln>
          <a:effectLst/>
          <a:sp3d>
            <a:contourClr>
              <a:schemeClr val="accent5">
                <a:lumMod val="40000"/>
                <a:lumOff val="60000"/>
              </a:schemeClr>
            </a:contourClr>
          </a:sp3d>
        </c:spPr>
      </c:pivotFmt>
      <c:pivotFmt>
        <c:idx val="4"/>
        <c:spPr>
          <a:solidFill>
            <a:schemeClr val="accent1"/>
          </a:solidFill>
          <a:ln>
            <a:solidFill>
              <a:schemeClr val="accent5">
                <a:lumMod val="75000"/>
              </a:schemeClr>
            </a:solidFill>
          </a:ln>
          <a:effectLst/>
          <a:sp3d>
            <a:contourClr>
              <a:schemeClr val="accent5">
                <a:lumMod val="75000"/>
              </a:schemeClr>
            </a:contourClr>
          </a:sp3d>
        </c:spPr>
      </c:pivotFmt>
      <c:pivotFmt>
        <c:idx val="5"/>
        <c:spPr>
          <a:solidFill>
            <a:schemeClr val="accent1"/>
          </a:solidFill>
          <a:ln>
            <a:solidFill>
              <a:schemeClr val="accent5">
                <a:lumMod val="75000"/>
              </a:schemeClr>
            </a:solidFill>
          </a:ln>
          <a:effectLst/>
          <a:sp3d>
            <a:contourClr>
              <a:schemeClr val="accent5">
                <a:lumMod val="75000"/>
              </a:schemeClr>
            </a:contourClr>
          </a:sp3d>
        </c:spPr>
      </c:pivotFmt>
      <c:pivotFmt>
        <c:idx val="6"/>
        <c:spPr>
          <a:solidFill>
            <a:schemeClr val="accent1"/>
          </a:solidFill>
          <a:ln>
            <a:solidFill>
              <a:schemeClr val="accent5">
                <a:lumMod val="40000"/>
                <a:lumOff val="60000"/>
              </a:schemeClr>
            </a:solidFill>
          </a:ln>
          <a:effectLst/>
          <a:sp3d>
            <a:contourClr>
              <a:schemeClr val="accent5">
                <a:lumMod val="40000"/>
                <a:lumOff val="60000"/>
              </a:schemeClr>
            </a:contourClr>
          </a:sp3d>
        </c:spPr>
      </c:pivotFmt>
      <c:pivotFmt>
        <c:idx val="7"/>
        <c:spPr>
          <a:solidFill>
            <a:schemeClr val="accent1"/>
          </a:solidFill>
          <a:ln>
            <a:solidFill>
              <a:schemeClr val="accent5">
                <a:lumMod val="40000"/>
                <a:lumOff val="60000"/>
              </a:schemeClr>
            </a:solidFill>
          </a:ln>
          <a:effectLst/>
          <a:sp3d>
            <a:contourClr>
              <a:schemeClr val="accent5">
                <a:lumMod val="40000"/>
                <a:lumOff val="60000"/>
              </a:schemeClr>
            </a:contourClr>
          </a:sp3d>
        </c:spPr>
      </c:pivotFmt>
      <c:pivotFmt>
        <c:idx val="8"/>
        <c:spPr>
          <a:solidFill>
            <a:schemeClr val="accent1"/>
          </a:solidFill>
          <a:ln>
            <a:solidFill>
              <a:schemeClr val="accent5">
                <a:lumMod val="40000"/>
                <a:lumOff val="60000"/>
              </a:schemeClr>
            </a:solidFill>
          </a:ln>
          <a:effectLst/>
          <a:sp3d>
            <a:contourClr>
              <a:schemeClr val="accent5">
                <a:lumMod val="40000"/>
                <a:lumOff val="60000"/>
              </a:schemeClr>
            </a:contourClr>
          </a:sp3d>
        </c:spPr>
      </c:pivotFmt>
      <c:pivotFmt>
        <c:idx val="9"/>
        <c:spPr>
          <a:solidFill>
            <a:schemeClr val="accent1"/>
          </a:solidFill>
          <a:ln>
            <a:solidFill>
              <a:schemeClr val="accent5">
                <a:lumMod val="75000"/>
              </a:schemeClr>
            </a:solidFill>
          </a:ln>
          <a:effectLst/>
          <a:sp3d>
            <a:contourClr>
              <a:schemeClr val="accent5">
                <a:lumMod val="75000"/>
              </a:schemeClr>
            </a:contourClr>
          </a:sp3d>
        </c:spPr>
      </c:pivotFmt>
      <c:pivotFmt>
        <c:idx val="10"/>
        <c:spPr>
          <a:solidFill>
            <a:schemeClr val="accent1"/>
          </a:solidFill>
          <a:ln>
            <a:solidFill>
              <a:schemeClr val="accent5">
                <a:lumMod val="75000"/>
              </a:schemeClr>
            </a:solidFill>
          </a:ln>
          <a:effectLst/>
          <a:sp3d>
            <a:contourClr>
              <a:schemeClr val="accent5">
                <a:lumMod val="75000"/>
              </a:schemeClr>
            </a:contourClr>
          </a:sp3d>
        </c:spPr>
      </c:pivotFmt>
      <c:pivotFmt>
        <c:idx val="11"/>
        <c:spPr>
          <a:solidFill>
            <a:schemeClr val="accent1"/>
          </a:solidFill>
          <a:ln>
            <a:solidFill>
              <a:schemeClr val="accent5">
                <a:lumMod val="75000"/>
              </a:schemeClr>
            </a:solidFill>
          </a:ln>
          <a:effectLst/>
          <a:sp3d>
            <a:contourClr>
              <a:schemeClr val="accent5">
                <a:lumMod val="75000"/>
              </a:schemeClr>
            </a:contourClr>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 '!$B$23:$B$24</c:f>
              <c:strCache>
                <c:ptCount val="1"/>
                <c:pt idx="0">
                  <c:v>No</c:v>
                </c:pt>
              </c:strCache>
            </c:strRef>
          </c:tx>
          <c:spPr>
            <a:ln>
              <a:solidFill>
                <a:schemeClr val="accent5">
                  <a:lumMod val="40000"/>
                  <a:lumOff val="60000"/>
                </a:schemeClr>
              </a:solidFill>
            </a:ln>
          </c:spPr>
          <c:dPt>
            <c:idx val="0"/>
            <c:bubble3D val="0"/>
            <c:spPr>
              <a:solidFill>
                <a:schemeClr val="accent1"/>
              </a:solidFill>
              <a:ln>
                <a:solidFill>
                  <a:schemeClr val="accent5">
                    <a:lumMod val="40000"/>
                    <a:lumOff val="60000"/>
                  </a:schemeClr>
                </a:solidFill>
              </a:ln>
              <a:effectLst/>
              <a:sp3d>
                <a:contourClr>
                  <a:schemeClr val="accent5">
                    <a:lumMod val="40000"/>
                    <a:lumOff val="60000"/>
                  </a:schemeClr>
                </a:contourClr>
              </a:sp3d>
            </c:spPr>
            <c:extLst>
              <c:ext xmlns:c16="http://schemas.microsoft.com/office/drawing/2014/chart" uri="{C3380CC4-5D6E-409C-BE32-E72D297353CC}">
                <c16:uniqueId val="{00000001-9A3E-4A55-B2BF-C9862151714F}"/>
              </c:ext>
            </c:extLst>
          </c:dPt>
          <c:dPt>
            <c:idx val="1"/>
            <c:bubble3D val="0"/>
            <c:spPr>
              <a:solidFill>
                <a:schemeClr val="accent2"/>
              </a:solidFill>
              <a:ln>
                <a:solidFill>
                  <a:schemeClr val="accent5">
                    <a:lumMod val="40000"/>
                    <a:lumOff val="60000"/>
                  </a:schemeClr>
                </a:solidFill>
              </a:ln>
              <a:effectLst/>
              <a:sp3d>
                <a:contourClr>
                  <a:schemeClr val="accent5">
                    <a:lumMod val="40000"/>
                    <a:lumOff val="60000"/>
                  </a:schemeClr>
                </a:contourClr>
              </a:sp3d>
            </c:spPr>
            <c:extLst>
              <c:ext xmlns:c16="http://schemas.microsoft.com/office/drawing/2014/chart" uri="{C3380CC4-5D6E-409C-BE32-E72D297353CC}">
                <c16:uniqueId val="{00000003-9A3E-4A55-B2BF-C9862151714F}"/>
              </c:ext>
            </c:extLst>
          </c:dPt>
          <c:dPt>
            <c:idx val="2"/>
            <c:bubble3D val="0"/>
            <c:spPr>
              <a:solidFill>
                <a:schemeClr val="accent3"/>
              </a:solidFill>
              <a:ln>
                <a:solidFill>
                  <a:schemeClr val="accent5">
                    <a:lumMod val="40000"/>
                    <a:lumOff val="60000"/>
                  </a:schemeClr>
                </a:solidFill>
              </a:ln>
              <a:effectLst/>
              <a:sp3d>
                <a:contourClr>
                  <a:schemeClr val="accent5">
                    <a:lumMod val="40000"/>
                    <a:lumOff val="60000"/>
                  </a:schemeClr>
                </a:contourClr>
              </a:sp3d>
            </c:spPr>
            <c:extLst>
              <c:ext xmlns:c16="http://schemas.microsoft.com/office/drawing/2014/chart" uri="{C3380CC4-5D6E-409C-BE32-E72D297353CC}">
                <c16:uniqueId val="{00000005-9A3E-4A55-B2BF-C9862151714F}"/>
              </c:ext>
            </c:extLst>
          </c:dPt>
          <c:dPt>
            <c:idx val="3"/>
            <c:bubble3D val="0"/>
            <c:spPr>
              <a:solidFill>
                <a:schemeClr val="accent4"/>
              </a:solidFill>
              <a:ln>
                <a:solidFill>
                  <a:schemeClr val="accent5">
                    <a:lumMod val="40000"/>
                    <a:lumOff val="60000"/>
                  </a:schemeClr>
                </a:solidFill>
              </a:ln>
              <a:effectLst/>
              <a:sp3d>
                <a:contourClr>
                  <a:schemeClr val="accent5">
                    <a:lumMod val="40000"/>
                    <a:lumOff val="60000"/>
                  </a:schemeClr>
                </a:contourClr>
              </a:sp3d>
            </c:spPr>
            <c:extLst>
              <c:ext xmlns:c16="http://schemas.microsoft.com/office/drawing/2014/chart" uri="{C3380CC4-5D6E-409C-BE32-E72D297353CC}">
                <c16:uniqueId val="{00000007-9A3E-4A55-B2BF-C9862151714F}"/>
              </c:ext>
            </c:extLst>
          </c:dPt>
          <c:dPt>
            <c:idx val="4"/>
            <c:bubble3D val="0"/>
            <c:spPr>
              <a:solidFill>
                <a:schemeClr val="accent5"/>
              </a:solidFill>
              <a:ln>
                <a:solidFill>
                  <a:schemeClr val="accent5">
                    <a:lumMod val="40000"/>
                    <a:lumOff val="60000"/>
                  </a:schemeClr>
                </a:solidFill>
              </a:ln>
              <a:effectLst/>
              <a:sp3d>
                <a:contourClr>
                  <a:schemeClr val="accent5">
                    <a:lumMod val="40000"/>
                    <a:lumOff val="60000"/>
                  </a:schemeClr>
                </a:contourClr>
              </a:sp3d>
            </c:spPr>
            <c:extLst>
              <c:ext xmlns:c16="http://schemas.microsoft.com/office/drawing/2014/chart" uri="{C3380CC4-5D6E-409C-BE32-E72D297353CC}">
                <c16:uniqueId val="{00000009-9A3E-4A55-B2BF-C9862151714F}"/>
              </c:ext>
            </c:extLst>
          </c:dPt>
          <c:cat>
            <c:strRef>
              <c:f>'Pivot_Table '!$A$25:$A$30</c:f>
              <c:strCache>
                <c:ptCount val="5"/>
                <c:pt idx="0">
                  <c:v>0-1 Miles</c:v>
                </c:pt>
                <c:pt idx="1">
                  <c:v>10+ Miles</c:v>
                </c:pt>
                <c:pt idx="2">
                  <c:v>1-2 Miles</c:v>
                </c:pt>
                <c:pt idx="3">
                  <c:v>2-5 Miles</c:v>
                </c:pt>
                <c:pt idx="4">
                  <c:v>5-10 Miles</c:v>
                </c:pt>
              </c:strCache>
            </c:strRef>
          </c:cat>
          <c:val>
            <c:numRef>
              <c:f>'Pivot_Table '!$B$25:$B$30</c:f>
              <c:numCache>
                <c:formatCode>General</c:formatCode>
                <c:ptCount val="5"/>
                <c:pt idx="0">
                  <c:v>18</c:v>
                </c:pt>
                <c:pt idx="1">
                  <c:v>4</c:v>
                </c:pt>
                <c:pt idx="2">
                  <c:v>7</c:v>
                </c:pt>
                <c:pt idx="3">
                  <c:v>4</c:v>
                </c:pt>
                <c:pt idx="4">
                  <c:v>7</c:v>
                </c:pt>
              </c:numCache>
            </c:numRef>
          </c:val>
          <c:extLst>
            <c:ext xmlns:c16="http://schemas.microsoft.com/office/drawing/2014/chart" uri="{C3380CC4-5D6E-409C-BE32-E72D297353CC}">
              <c16:uniqueId val="{00000000-EDFE-41E1-B558-276E3E6A7FD3}"/>
            </c:ext>
          </c:extLst>
        </c:ser>
        <c:ser>
          <c:idx val="1"/>
          <c:order val="1"/>
          <c:tx>
            <c:strRef>
              <c:f>'Pivot_Table '!$C$23:$C$24</c:f>
              <c:strCache>
                <c:ptCount val="1"/>
                <c:pt idx="0">
                  <c:v>Yes</c:v>
                </c:pt>
              </c:strCache>
            </c:strRef>
          </c:tx>
          <c:spPr>
            <a:ln>
              <a:solidFill>
                <a:schemeClr val="accent5">
                  <a:lumMod val="75000"/>
                </a:schemeClr>
              </a:solidFill>
            </a:ln>
          </c:spPr>
          <c:dPt>
            <c:idx val="0"/>
            <c:bubble3D val="0"/>
            <c:spPr>
              <a:solidFill>
                <a:schemeClr val="accent1"/>
              </a:solidFill>
              <a:ln>
                <a:solidFill>
                  <a:schemeClr val="accent5">
                    <a:lumMod val="75000"/>
                  </a:schemeClr>
                </a:solidFill>
              </a:ln>
              <a:effectLst/>
              <a:sp3d>
                <a:contourClr>
                  <a:schemeClr val="accent5">
                    <a:lumMod val="75000"/>
                  </a:schemeClr>
                </a:contourClr>
              </a:sp3d>
            </c:spPr>
            <c:extLst>
              <c:ext xmlns:c16="http://schemas.microsoft.com/office/drawing/2014/chart" uri="{C3380CC4-5D6E-409C-BE32-E72D297353CC}">
                <c16:uniqueId val="{0000000B-9A3E-4A55-B2BF-C9862151714F}"/>
              </c:ext>
            </c:extLst>
          </c:dPt>
          <c:dPt>
            <c:idx val="1"/>
            <c:bubble3D val="0"/>
            <c:spPr>
              <a:solidFill>
                <a:schemeClr val="accent2"/>
              </a:solidFill>
              <a:ln>
                <a:solidFill>
                  <a:schemeClr val="accent5">
                    <a:lumMod val="75000"/>
                  </a:schemeClr>
                </a:solidFill>
              </a:ln>
              <a:effectLst/>
              <a:sp3d>
                <a:contourClr>
                  <a:schemeClr val="accent5">
                    <a:lumMod val="75000"/>
                  </a:schemeClr>
                </a:contourClr>
              </a:sp3d>
            </c:spPr>
            <c:extLst>
              <c:ext xmlns:c16="http://schemas.microsoft.com/office/drawing/2014/chart" uri="{C3380CC4-5D6E-409C-BE32-E72D297353CC}">
                <c16:uniqueId val="{0000000D-9A3E-4A55-B2BF-C9862151714F}"/>
              </c:ext>
            </c:extLst>
          </c:dPt>
          <c:dPt>
            <c:idx val="2"/>
            <c:bubble3D val="0"/>
            <c:spPr>
              <a:solidFill>
                <a:schemeClr val="accent3"/>
              </a:solidFill>
              <a:ln>
                <a:solidFill>
                  <a:schemeClr val="accent5">
                    <a:lumMod val="75000"/>
                  </a:schemeClr>
                </a:solidFill>
              </a:ln>
              <a:effectLst/>
              <a:sp3d>
                <a:contourClr>
                  <a:schemeClr val="accent5">
                    <a:lumMod val="75000"/>
                  </a:schemeClr>
                </a:contourClr>
              </a:sp3d>
            </c:spPr>
            <c:extLst>
              <c:ext xmlns:c16="http://schemas.microsoft.com/office/drawing/2014/chart" uri="{C3380CC4-5D6E-409C-BE32-E72D297353CC}">
                <c16:uniqueId val="{0000000F-9A3E-4A55-B2BF-C9862151714F}"/>
              </c:ext>
            </c:extLst>
          </c:dPt>
          <c:dPt>
            <c:idx val="3"/>
            <c:bubble3D val="0"/>
            <c:spPr>
              <a:solidFill>
                <a:schemeClr val="accent4"/>
              </a:solidFill>
              <a:ln>
                <a:solidFill>
                  <a:schemeClr val="accent5">
                    <a:lumMod val="75000"/>
                  </a:schemeClr>
                </a:solidFill>
              </a:ln>
              <a:effectLst/>
              <a:sp3d>
                <a:contourClr>
                  <a:schemeClr val="accent5">
                    <a:lumMod val="75000"/>
                  </a:schemeClr>
                </a:contourClr>
              </a:sp3d>
            </c:spPr>
            <c:extLst>
              <c:ext xmlns:c16="http://schemas.microsoft.com/office/drawing/2014/chart" uri="{C3380CC4-5D6E-409C-BE32-E72D297353CC}">
                <c16:uniqueId val="{00000011-9A3E-4A55-B2BF-C9862151714F}"/>
              </c:ext>
            </c:extLst>
          </c:dPt>
          <c:dPt>
            <c:idx val="4"/>
            <c:bubble3D val="0"/>
            <c:spPr>
              <a:solidFill>
                <a:schemeClr val="accent5"/>
              </a:solidFill>
              <a:ln>
                <a:solidFill>
                  <a:schemeClr val="accent5">
                    <a:lumMod val="75000"/>
                  </a:schemeClr>
                </a:solidFill>
              </a:ln>
              <a:effectLst/>
              <a:sp3d>
                <a:contourClr>
                  <a:schemeClr val="accent5">
                    <a:lumMod val="75000"/>
                  </a:schemeClr>
                </a:contourClr>
              </a:sp3d>
            </c:spPr>
            <c:extLst>
              <c:ext xmlns:c16="http://schemas.microsoft.com/office/drawing/2014/chart" uri="{C3380CC4-5D6E-409C-BE32-E72D297353CC}">
                <c16:uniqueId val="{00000013-9A3E-4A55-B2BF-C9862151714F}"/>
              </c:ext>
            </c:extLst>
          </c:dPt>
          <c:cat>
            <c:strRef>
              <c:f>'Pivot_Table '!$A$25:$A$30</c:f>
              <c:strCache>
                <c:ptCount val="5"/>
                <c:pt idx="0">
                  <c:v>0-1 Miles</c:v>
                </c:pt>
                <c:pt idx="1">
                  <c:v>10+ Miles</c:v>
                </c:pt>
                <c:pt idx="2">
                  <c:v>1-2 Miles</c:v>
                </c:pt>
                <c:pt idx="3">
                  <c:v>2-5 Miles</c:v>
                </c:pt>
                <c:pt idx="4">
                  <c:v>5-10 Miles</c:v>
                </c:pt>
              </c:strCache>
            </c:strRef>
          </c:cat>
          <c:val>
            <c:numRef>
              <c:f>'Pivot_Table '!$C$25:$C$30</c:f>
              <c:numCache>
                <c:formatCode>General</c:formatCode>
                <c:ptCount val="5"/>
                <c:pt idx="0">
                  <c:v>13</c:v>
                </c:pt>
                <c:pt idx="2">
                  <c:v>5</c:v>
                </c:pt>
                <c:pt idx="3">
                  <c:v>12</c:v>
                </c:pt>
                <c:pt idx="4">
                  <c:v>1</c:v>
                </c:pt>
              </c:numCache>
            </c:numRef>
          </c:val>
          <c:extLst>
            <c:ext xmlns:c16="http://schemas.microsoft.com/office/drawing/2014/chart" uri="{C3380CC4-5D6E-409C-BE32-E72D297353CC}">
              <c16:uniqueId val="{00000000-FC7C-47E4-8A74-D5BEAC41680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5">
              <a:lumMod val="20000"/>
              <a:lumOff val="80000"/>
            </a:schemeClr>
          </a:solidFill>
          <a:ln>
            <a:noFill/>
          </a:ln>
          <a:effectLst/>
          <a:sp3d/>
        </c:spPr>
      </c:pivotFmt>
      <c:pivotFmt>
        <c:idx val="4"/>
        <c:spPr>
          <a:solidFill>
            <a:schemeClr val="accent5">
              <a:lumMod val="50000"/>
            </a:schemeClr>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 '!$B$42:$B$43</c:f>
              <c:strCache>
                <c:ptCount val="1"/>
                <c:pt idx="0">
                  <c:v>No</c:v>
                </c:pt>
              </c:strCache>
            </c:strRef>
          </c:tx>
          <c:dPt>
            <c:idx val="0"/>
            <c:bubble3D val="0"/>
            <c:spPr>
              <a:solidFill>
                <a:schemeClr val="accent1"/>
              </a:solidFill>
              <a:ln>
                <a:noFill/>
              </a:ln>
              <a:effectLst/>
              <a:sp3d/>
            </c:spPr>
            <c:extLst>
              <c:ext xmlns:c16="http://schemas.microsoft.com/office/drawing/2014/chart" uri="{C3380CC4-5D6E-409C-BE32-E72D297353CC}">
                <c16:uniqueId val="{00000001-3D88-4DE1-93F4-1D8F2C1D6312}"/>
              </c:ext>
            </c:extLst>
          </c:dPt>
          <c:dPt>
            <c:idx val="1"/>
            <c:bubble3D val="0"/>
            <c:spPr>
              <a:solidFill>
                <a:schemeClr val="accent5">
                  <a:lumMod val="20000"/>
                  <a:lumOff val="80000"/>
                </a:schemeClr>
              </a:solidFill>
              <a:ln>
                <a:noFill/>
              </a:ln>
              <a:effectLst/>
              <a:sp3d/>
            </c:spPr>
            <c:extLst>
              <c:ext xmlns:c16="http://schemas.microsoft.com/office/drawing/2014/chart" uri="{C3380CC4-5D6E-409C-BE32-E72D297353CC}">
                <c16:uniqueId val="{00000003-3D88-4DE1-93F4-1D8F2C1D6312}"/>
              </c:ext>
            </c:extLst>
          </c:dPt>
          <c:dPt>
            <c:idx val="2"/>
            <c:bubble3D val="0"/>
            <c:spPr>
              <a:solidFill>
                <a:schemeClr val="accent5">
                  <a:lumMod val="50000"/>
                </a:schemeClr>
              </a:solidFill>
              <a:ln>
                <a:noFill/>
              </a:ln>
              <a:effectLst/>
              <a:sp3d/>
            </c:spPr>
            <c:extLst>
              <c:ext xmlns:c16="http://schemas.microsoft.com/office/drawing/2014/chart" uri="{C3380CC4-5D6E-409C-BE32-E72D297353CC}">
                <c16:uniqueId val="{00000005-3D88-4DE1-93F4-1D8F2C1D6312}"/>
              </c:ext>
            </c:extLst>
          </c:dPt>
          <c:cat>
            <c:strRef>
              <c:f>'Pivot_Table '!$A$44:$A$47</c:f>
              <c:strCache>
                <c:ptCount val="3"/>
                <c:pt idx="0">
                  <c:v>Adolescent</c:v>
                </c:pt>
                <c:pt idx="1">
                  <c:v>Middle Age</c:v>
                </c:pt>
                <c:pt idx="2">
                  <c:v>OLD</c:v>
                </c:pt>
              </c:strCache>
            </c:strRef>
          </c:cat>
          <c:val>
            <c:numRef>
              <c:f>'Pivot_Table '!$B$44:$B$47</c:f>
              <c:numCache>
                <c:formatCode>General</c:formatCode>
                <c:ptCount val="3"/>
                <c:pt idx="0">
                  <c:v>2</c:v>
                </c:pt>
                <c:pt idx="1">
                  <c:v>28</c:v>
                </c:pt>
                <c:pt idx="2">
                  <c:v>10</c:v>
                </c:pt>
              </c:numCache>
            </c:numRef>
          </c:val>
          <c:extLst>
            <c:ext xmlns:c16="http://schemas.microsoft.com/office/drawing/2014/chart" uri="{C3380CC4-5D6E-409C-BE32-E72D297353CC}">
              <c16:uniqueId val="{00000000-398B-4730-BA3D-4549A7733D93}"/>
            </c:ext>
          </c:extLst>
        </c:ser>
        <c:ser>
          <c:idx val="1"/>
          <c:order val="1"/>
          <c:tx>
            <c:strRef>
              <c:f>'Pivot_Table '!$C$42:$C$43</c:f>
              <c:strCache>
                <c:ptCount val="1"/>
                <c:pt idx="0">
                  <c:v>Yes</c:v>
                </c:pt>
              </c:strCache>
            </c:strRef>
          </c:tx>
          <c:dPt>
            <c:idx val="0"/>
            <c:bubble3D val="0"/>
            <c:spPr>
              <a:solidFill>
                <a:schemeClr val="accent1"/>
              </a:solidFill>
              <a:ln>
                <a:noFill/>
              </a:ln>
              <a:effectLst/>
              <a:sp3d/>
            </c:spPr>
            <c:extLst>
              <c:ext xmlns:c16="http://schemas.microsoft.com/office/drawing/2014/chart" uri="{C3380CC4-5D6E-409C-BE32-E72D297353CC}">
                <c16:uniqueId val="{00000007-EBEF-4918-A6F0-5926F2658819}"/>
              </c:ext>
            </c:extLst>
          </c:dPt>
          <c:dPt>
            <c:idx val="1"/>
            <c:bubble3D val="0"/>
            <c:spPr>
              <a:solidFill>
                <a:schemeClr val="accent2"/>
              </a:solidFill>
              <a:ln>
                <a:noFill/>
              </a:ln>
              <a:effectLst/>
              <a:sp3d/>
            </c:spPr>
            <c:extLst>
              <c:ext xmlns:c16="http://schemas.microsoft.com/office/drawing/2014/chart" uri="{C3380CC4-5D6E-409C-BE32-E72D297353CC}">
                <c16:uniqueId val="{00000009-EBEF-4918-A6F0-5926F2658819}"/>
              </c:ext>
            </c:extLst>
          </c:dPt>
          <c:dPt>
            <c:idx val="2"/>
            <c:bubble3D val="0"/>
            <c:spPr>
              <a:solidFill>
                <a:schemeClr val="accent3"/>
              </a:solidFill>
              <a:ln>
                <a:noFill/>
              </a:ln>
              <a:effectLst/>
              <a:sp3d/>
            </c:spPr>
            <c:extLst>
              <c:ext xmlns:c16="http://schemas.microsoft.com/office/drawing/2014/chart" uri="{C3380CC4-5D6E-409C-BE32-E72D297353CC}">
                <c16:uniqueId val="{0000000B-EBEF-4918-A6F0-5926F2658819}"/>
              </c:ext>
            </c:extLst>
          </c:dPt>
          <c:cat>
            <c:strRef>
              <c:f>'Pivot_Table '!$A$44:$A$47</c:f>
              <c:strCache>
                <c:ptCount val="3"/>
                <c:pt idx="0">
                  <c:v>Adolescent</c:v>
                </c:pt>
                <c:pt idx="1">
                  <c:v>Middle Age</c:v>
                </c:pt>
                <c:pt idx="2">
                  <c:v>OLD</c:v>
                </c:pt>
              </c:strCache>
            </c:strRef>
          </c:cat>
          <c:val>
            <c:numRef>
              <c:f>'Pivot_Table '!$C$44:$C$47</c:f>
              <c:numCache>
                <c:formatCode>General</c:formatCode>
                <c:ptCount val="3"/>
                <c:pt idx="0">
                  <c:v>2</c:v>
                </c:pt>
                <c:pt idx="1">
                  <c:v>21</c:v>
                </c:pt>
                <c:pt idx="2">
                  <c:v>8</c:v>
                </c:pt>
              </c:numCache>
            </c:numRef>
          </c:val>
          <c:extLst>
            <c:ext xmlns:c16="http://schemas.microsoft.com/office/drawing/2014/chart" uri="{C3380CC4-5D6E-409C-BE32-E72D297353CC}">
              <c16:uniqueId val="{0000000C-3D88-4DE1-93F4-1D8F2C1D631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Puchased</a:t>
            </a:r>
            <a:r>
              <a:rPr lang="en-US" baseline="0"/>
              <a:t> Bike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5">
              <a:lumMod val="20000"/>
              <a:lumOff val="8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lumMod val="20000"/>
              <a:lumOff val="80000"/>
            </a:schemeClr>
          </a:solidFill>
          <a:ln w="19050">
            <a:solidFill>
              <a:schemeClr val="lt1"/>
            </a:solidFill>
          </a:ln>
          <a:effectLst/>
        </c:spPr>
      </c:pivotFmt>
      <c:pivotFmt>
        <c:idx val="7"/>
        <c:spPr>
          <a:solidFill>
            <a:schemeClr val="accent5">
              <a:lumMod val="50000"/>
            </a:schemeClr>
          </a:solidFill>
          <a:ln w="19050">
            <a:solidFill>
              <a:schemeClr val="lt1"/>
            </a:solidFill>
          </a:ln>
          <a:effectLst/>
        </c:spPr>
      </c:pivotFmt>
    </c:pivotFmts>
    <c:plotArea>
      <c:layout/>
      <c:doughnutChart>
        <c:varyColors val="1"/>
        <c:ser>
          <c:idx val="0"/>
          <c:order val="0"/>
          <c:tx>
            <c:strRef>
              <c:f>'Pivot_Table '!$B$60:$B$61</c:f>
              <c:strCache>
                <c:ptCount val="1"/>
                <c:pt idx="0">
                  <c:v>No</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748A-4162-AD21-2D5DBFCE13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8A-4162-AD21-2D5DBFCE13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8A-4162-AD21-2D5DBFCE1334}"/>
              </c:ext>
            </c:extLst>
          </c:dPt>
          <c:cat>
            <c:strRef>
              <c:f>'Pivot_Table '!$A$62:$A$63</c:f>
              <c:strCache>
                <c:ptCount val="1"/>
                <c:pt idx="0">
                  <c:v>North America</c:v>
                </c:pt>
              </c:strCache>
            </c:strRef>
          </c:cat>
          <c:val>
            <c:numRef>
              <c:f>'Pivot_Table '!$B$62:$B$63</c:f>
              <c:numCache>
                <c:formatCode>General</c:formatCode>
                <c:ptCount val="1"/>
                <c:pt idx="0">
                  <c:v>40</c:v>
                </c:pt>
              </c:numCache>
            </c:numRef>
          </c:val>
          <c:extLst>
            <c:ext xmlns:c16="http://schemas.microsoft.com/office/drawing/2014/chart" uri="{C3380CC4-5D6E-409C-BE32-E72D297353CC}">
              <c16:uniqueId val="{00000000-476D-4FE6-BE8F-C8B389D49604}"/>
            </c:ext>
          </c:extLst>
        </c:ser>
        <c:ser>
          <c:idx val="1"/>
          <c:order val="1"/>
          <c:tx>
            <c:strRef>
              <c:f>'Pivot_Table '!$C$60:$C$61</c:f>
              <c:strCache>
                <c:ptCount val="1"/>
                <c:pt idx="0">
                  <c:v>Yes</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E2D1-4CFE-A26F-675889CF7C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E2D1-4CFE-A26F-675889CF7C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E2D1-4CFE-A26F-675889CF7C99}"/>
              </c:ext>
            </c:extLst>
          </c:dPt>
          <c:cat>
            <c:strRef>
              <c:f>'Pivot_Table '!$A$62:$A$63</c:f>
              <c:strCache>
                <c:ptCount val="1"/>
                <c:pt idx="0">
                  <c:v>North America</c:v>
                </c:pt>
              </c:strCache>
            </c:strRef>
          </c:cat>
          <c:val>
            <c:numRef>
              <c:f>'Pivot_Table '!$C$62:$C$63</c:f>
              <c:numCache>
                <c:formatCode>General</c:formatCode>
                <c:ptCount val="1"/>
                <c:pt idx="0">
                  <c:v>31</c:v>
                </c:pt>
              </c:numCache>
            </c:numRef>
          </c:val>
          <c:extLst>
            <c:ext xmlns:c16="http://schemas.microsoft.com/office/drawing/2014/chart" uri="{C3380CC4-5D6E-409C-BE32-E72D297353CC}">
              <c16:uniqueId val="{0000000C-748A-4162-AD21-2D5DBFCE13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 '!$B$77</c:f>
              <c:strCache>
                <c:ptCount val="1"/>
                <c:pt idx="0">
                  <c:v>Total</c:v>
                </c:pt>
              </c:strCache>
            </c:strRef>
          </c:tx>
          <c:spPr>
            <a:solidFill>
              <a:schemeClr val="accent1"/>
            </a:solidFill>
            <a:ln>
              <a:noFill/>
            </a:ln>
            <a:effectLst/>
            <a:sp3d/>
          </c:spPr>
          <c:invertIfNegative val="0"/>
          <c:cat>
            <c:strRef>
              <c:f>'Pivot_Table '!$A$78:$A$80</c:f>
              <c:strCache>
                <c:ptCount val="2"/>
                <c:pt idx="0">
                  <c:v>No</c:v>
                </c:pt>
                <c:pt idx="1">
                  <c:v>Yes</c:v>
                </c:pt>
              </c:strCache>
            </c:strRef>
          </c:cat>
          <c:val>
            <c:numRef>
              <c:f>'Pivot_Table '!$B$78:$B$80</c:f>
              <c:numCache>
                <c:formatCode>General</c:formatCode>
                <c:ptCount val="2"/>
                <c:pt idx="0">
                  <c:v>40</c:v>
                </c:pt>
                <c:pt idx="1">
                  <c:v>31</c:v>
                </c:pt>
              </c:numCache>
            </c:numRef>
          </c:val>
          <c:extLst>
            <c:ext xmlns:c16="http://schemas.microsoft.com/office/drawing/2014/chart" uri="{C3380CC4-5D6E-409C-BE32-E72D297353CC}">
              <c16:uniqueId val="{00000000-FD0D-402E-B6BA-3CD48752414E}"/>
            </c:ext>
          </c:extLst>
        </c:ser>
        <c:dLbls>
          <c:showLegendKey val="0"/>
          <c:showVal val="0"/>
          <c:showCatName val="0"/>
          <c:showSerName val="0"/>
          <c:showPercent val="0"/>
          <c:showBubbleSize val="0"/>
        </c:dLbls>
        <c:gapWidth val="150"/>
        <c:shape val="box"/>
        <c:axId val="1746347904"/>
        <c:axId val="1746349344"/>
        <c:axId val="0"/>
      </c:bar3DChart>
      <c:catAx>
        <c:axId val="1746347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349344"/>
        <c:crosses val="autoZero"/>
        <c:auto val="1"/>
        <c:lblAlgn val="ctr"/>
        <c:lblOffset val="100"/>
        <c:noMultiLvlLbl val="0"/>
      </c:catAx>
      <c:valAx>
        <c:axId val="174634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34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!PivotTable5</c:name>
    <c:fmtId val="6"/>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 '!$B$60:$B$61</c:f>
              <c:strCache>
                <c:ptCount val="1"/>
                <c:pt idx="0">
                  <c:v>No</c:v>
                </c:pt>
              </c:strCache>
            </c:strRef>
          </c:tx>
          <c:spPr>
            <a:solidFill>
              <a:schemeClr val="accent5">
                <a:lumMod val="40000"/>
                <a:lumOff val="60000"/>
              </a:schemeClr>
            </a:solidFill>
            <a:ln>
              <a:noFill/>
            </a:ln>
            <a:effectLst/>
          </c:spPr>
          <c:invertIfNegative val="0"/>
          <c:cat>
            <c:strRef>
              <c:f>'Pivot_Table '!$A$62:$A$63</c:f>
              <c:strCache>
                <c:ptCount val="1"/>
                <c:pt idx="0">
                  <c:v>North America</c:v>
                </c:pt>
              </c:strCache>
            </c:strRef>
          </c:cat>
          <c:val>
            <c:numRef>
              <c:f>'Pivot_Table '!$B$62:$B$63</c:f>
              <c:numCache>
                <c:formatCode>General</c:formatCode>
                <c:ptCount val="1"/>
                <c:pt idx="0">
                  <c:v>40</c:v>
                </c:pt>
              </c:numCache>
            </c:numRef>
          </c:val>
          <c:extLst>
            <c:ext xmlns:c16="http://schemas.microsoft.com/office/drawing/2014/chart" uri="{C3380CC4-5D6E-409C-BE32-E72D297353CC}">
              <c16:uniqueId val="{00000000-723F-4668-BACA-3AEB00764BD0}"/>
            </c:ext>
          </c:extLst>
        </c:ser>
        <c:ser>
          <c:idx val="1"/>
          <c:order val="1"/>
          <c:tx>
            <c:strRef>
              <c:f>'Pivot_Table '!$C$60:$C$61</c:f>
              <c:strCache>
                <c:ptCount val="1"/>
                <c:pt idx="0">
                  <c:v>Yes</c:v>
                </c:pt>
              </c:strCache>
            </c:strRef>
          </c:tx>
          <c:spPr>
            <a:solidFill>
              <a:schemeClr val="accent5">
                <a:lumMod val="75000"/>
              </a:schemeClr>
            </a:solidFill>
            <a:ln>
              <a:noFill/>
            </a:ln>
            <a:effectLst/>
          </c:spPr>
          <c:invertIfNegative val="0"/>
          <c:cat>
            <c:strRef>
              <c:f>'Pivot_Table '!$A$62:$A$63</c:f>
              <c:strCache>
                <c:ptCount val="1"/>
                <c:pt idx="0">
                  <c:v>North America</c:v>
                </c:pt>
              </c:strCache>
            </c:strRef>
          </c:cat>
          <c:val>
            <c:numRef>
              <c:f>'Pivot_Table '!$C$62:$C$63</c:f>
              <c:numCache>
                <c:formatCode>General</c:formatCode>
                <c:ptCount val="1"/>
                <c:pt idx="0">
                  <c:v>31</c:v>
                </c:pt>
              </c:numCache>
            </c:numRef>
          </c:val>
          <c:extLst>
            <c:ext xmlns:c16="http://schemas.microsoft.com/office/drawing/2014/chart" uri="{C3380CC4-5D6E-409C-BE32-E72D297353CC}">
              <c16:uniqueId val="{00000001-723F-4668-BACA-3AEB00764BD0}"/>
            </c:ext>
          </c:extLst>
        </c:ser>
        <c:dLbls>
          <c:showLegendKey val="0"/>
          <c:showVal val="0"/>
          <c:showCatName val="0"/>
          <c:showSerName val="0"/>
          <c:showPercent val="0"/>
          <c:showBubbleSize val="0"/>
        </c:dLbls>
        <c:gapWidth val="182"/>
        <c:axId val="926732335"/>
        <c:axId val="926750095"/>
      </c:barChart>
      <c:catAx>
        <c:axId val="92673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50095"/>
        <c:crosses val="autoZero"/>
        <c:auto val="1"/>
        <c:lblAlgn val="ctr"/>
        <c:lblOffset val="100"/>
        <c:noMultiLvlLbl val="0"/>
      </c:catAx>
      <c:valAx>
        <c:axId val="926750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3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 '!$B$42:$B$43</c:f>
              <c:strCache>
                <c:ptCount val="1"/>
                <c:pt idx="0">
                  <c:v>No</c:v>
                </c:pt>
              </c:strCache>
            </c:strRef>
          </c:tx>
          <c:spPr>
            <a:solidFill>
              <a:schemeClr val="accent1"/>
            </a:solidFill>
            <a:ln>
              <a:noFill/>
            </a:ln>
            <a:effectLst/>
          </c:spPr>
          <c:invertIfNegative val="0"/>
          <c:cat>
            <c:strRef>
              <c:f>'Pivot_Table '!$A$44:$A$47</c:f>
              <c:strCache>
                <c:ptCount val="3"/>
                <c:pt idx="0">
                  <c:v>Adolescent</c:v>
                </c:pt>
                <c:pt idx="1">
                  <c:v>Middle Age</c:v>
                </c:pt>
                <c:pt idx="2">
                  <c:v>OLD</c:v>
                </c:pt>
              </c:strCache>
            </c:strRef>
          </c:cat>
          <c:val>
            <c:numRef>
              <c:f>'Pivot_Table '!$B$44:$B$47</c:f>
              <c:numCache>
                <c:formatCode>General</c:formatCode>
                <c:ptCount val="3"/>
                <c:pt idx="0">
                  <c:v>2</c:v>
                </c:pt>
                <c:pt idx="1">
                  <c:v>28</c:v>
                </c:pt>
                <c:pt idx="2">
                  <c:v>10</c:v>
                </c:pt>
              </c:numCache>
            </c:numRef>
          </c:val>
          <c:extLst>
            <c:ext xmlns:c16="http://schemas.microsoft.com/office/drawing/2014/chart" uri="{C3380CC4-5D6E-409C-BE32-E72D297353CC}">
              <c16:uniqueId val="{00000000-96EE-4F09-A087-71FDB234BE69}"/>
            </c:ext>
          </c:extLst>
        </c:ser>
        <c:ser>
          <c:idx val="1"/>
          <c:order val="1"/>
          <c:tx>
            <c:strRef>
              <c:f>'Pivot_Table '!$C$42:$C$43</c:f>
              <c:strCache>
                <c:ptCount val="1"/>
                <c:pt idx="0">
                  <c:v>Yes</c:v>
                </c:pt>
              </c:strCache>
            </c:strRef>
          </c:tx>
          <c:spPr>
            <a:solidFill>
              <a:schemeClr val="accent2"/>
            </a:solidFill>
            <a:ln>
              <a:noFill/>
            </a:ln>
            <a:effectLst/>
          </c:spPr>
          <c:invertIfNegative val="0"/>
          <c:cat>
            <c:strRef>
              <c:f>'Pivot_Table '!$A$44:$A$47</c:f>
              <c:strCache>
                <c:ptCount val="3"/>
                <c:pt idx="0">
                  <c:v>Adolescent</c:v>
                </c:pt>
                <c:pt idx="1">
                  <c:v>Middle Age</c:v>
                </c:pt>
                <c:pt idx="2">
                  <c:v>OLD</c:v>
                </c:pt>
              </c:strCache>
            </c:strRef>
          </c:cat>
          <c:val>
            <c:numRef>
              <c:f>'Pivot_Table '!$C$44:$C$47</c:f>
              <c:numCache>
                <c:formatCode>General</c:formatCode>
                <c:ptCount val="3"/>
                <c:pt idx="0">
                  <c:v>2</c:v>
                </c:pt>
                <c:pt idx="1">
                  <c:v>21</c:v>
                </c:pt>
                <c:pt idx="2">
                  <c:v>8</c:v>
                </c:pt>
              </c:numCache>
            </c:numRef>
          </c:val>
          <c:extLst>
            <c:ext xmlns:c16="http://schemas.microsoft.com/office/drawing/2014/chart" uri="{C3380CC4-5D6E-409C-BE32-E72D297353CC}">
              <c16:uniqueId val="{00000001-96EE-4F09-A087-71FDB234BE69}"/>
            </c:ext>
          </c:extLst>
        </c:ser>
        <c:dLbls>
          <c:showLegendKey val="0"/>
          <c:showVal val="0"/>
          <c:showCatName val="0"/>
          <c:showSerName val="0"/>
          <c:showPercent val="0"/>
          <c:showBubbleSize val="0"/>
        </c:dLbls>
        <c:gapWidth val="182"/>
        <c:axId val="926745295"/>
        <c:axId val="926742895"/>
      </c:barChart>
      <c:catAx>
        <c:axId val="92674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42895"/>
        <c:crosses val="autoZero"/>
        <c:auto val="1"/>
        <c:lblAlgn val="ctr"/>
        <c:lblOffset val="100"/>
        <c:noMultiLvlLbl val="0"/>
      </c:catAx>
      <c:valAx>
        <c:axId val="926742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!PivotTable2</c:name>
    <c:fmtId val="15"/>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'Pivot_Table '!$B$23:$B$24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BA-486B-B312-4D0DF80AD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BA-486B-B312-4D0DF80AD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BA-486B-B312-4D0DF80AD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BA-486B-B312-4D0DF80AD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BA-486B-B312-4D0DF80ADCA5}"/>
              </c:ext>
            </c:extLst>
          </c:dPt>
          <c:cat>
            <c:strRef>
              <c:f>'Pivot_Table '!$A$25:$A$30</c:f>
              <c:strCache>
                <c:ptCount val="5"/>
                <c:pt idx="0">
                  <c:v>0-1 Miles</c:v>
                </c:pt>
                <c:pt idx="1">
                  <c:v>10+ Miles</c:v>
                </c:pt>
                <c:pt idx="2">
                  <c:v>1-2 Miles</c:v>
                </c:pt>
                <c:pt idx="3">
                  <c:v>2-5 Miles</c:v>
                </c:pt>
                <c:pt idx="4">
                  <c:v>5-10 Miles</c:v>
                </c:pt>
              </c:strCache>
            </c:strRef>
          </c:cat>
          <c:val>
            <c:numRef>
              <c:f>'Pivot_Table '!$B$25:$B$30</c:f>
              <c:numCache>
                <c:formatCode>General</c:formatCode>
                <c:ptCount val="5"/>
                <c:pt idx="0">
                  <c:v>18</c:v>
                </c:pt>
                <c:pt idx="1">
                  <c:v>4</c:v>
                </c:pt>
                <c:pt idx="2">
                  <c:v>7</c:v>
                </c:pt>
                <c:pt idx="3">
                  <c:v>4</c:v>
                </c:pt>
                <c:pt idx="4">
                  <c:v>7</c:v>
                </c:pt>
              </c:numCache>
            </c:numRef>
          </c:val>
          <c:extLst>
            <c:ext xmlns:c16="http://schemas.microsoft.com/office/drawing/2014/chart" uri="{C3380CC4-5D6E-409C-BE32-E72D297353CC}">
              <c16:uniqueId val="{00000000-0074-4159-872C-961488194B63}"/>
            </c:ext>
          </c:extLst>
        </c:ser>
        <c:ser>
          <c:idx val="1"/>
          <c:order val="1"/>
          <c:tx>
            <c:strRef>
              <c:f>'Pivot_Table '!$C$23:$C$24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91BA-486B-B312-4D0DF80AD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91BA-486B-B312-4D0DF80AD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91BA-486B-B312-4D0DF80AD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91BA-486B-B312-4D0DF80AD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91BA-486B-B312-4D0DF80ADCA5}"/>
              </c:ext>
            </c:extLst>
          </c:dPt>
          <c:cat>
            <c:strRef>
              <c:f>'Pivot_Table '!$A$25:$A$30</c:f>
              <c:strCache>
                <c:ptCount val="5"/>
                <c:pt idx="0">
                  <c:v>0-1 Miles</c:v>
                </c:pt>
                <c:pt idx="1">
                  <c:v>10+ Miles</c:v>
                </c:pt>
                <c:pt idx="2">
                  <c:v>1-2 Miles</c:v>
                </c:pt>
                <c:pt idx="3">
                  <c:v>2-5 Miles</c:v>
                </c:pt>
                <c:pt idx="4">
                  <c:v>5-10 Miles</c:v>
                </c:pt>
              </c:strCache>
            </c:strRef>
          </c:cat>
          <c:val>
            <c:numRef>
              <c:f>'Pivot_Table '!$C$25:$C$30</c:f>
              <c:numCache>
                <c:formatCode>General</c:formatCode>
                <c:ptCount val="5"/>
                <c:pt idx="0">
                  <c:v>13</c:v>
                </c:pt>
                <c:pt idx="2">
                  <c:v>5</c:v>
                </c:pt>
                <c:pt idx="3">
                  <c:v>12</c:v>
                </c:pt>
                <c:pt idx="4">
                  <c:v>1</c:v>
                </c:pt>
              </c:numCache>
            </c:numRef>
          </c:val>
          <c:extLst>
            <c:ext xmlns:c16="http://schemas.microsoft.com/office/drawing/2014/chart" uri="{C3380CC4-5D6E-409C-BE32-E72D297353CC}">
              <c16:uniqueId val="{00000001-0074-4159-872C-961488194B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 Avg</a:t>
            </a:r>
            <a:r>
              <a:rPr lang="en-US" sz="1800" b="1" baseline="0"/>
              <a:t> Income per purchase</a:t>
            </a:r>
          </a:p>
        </c:rich>
      </c:tx>
      <c:layout>
        <c:manualLayout>
          <c:xMode val="edge"/>
          <c:yMode val="edge"/>
          <c:x val="0.28969167755296638"/>
          <c:y val="3.09773430943265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lumMod val="75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lumMod val="75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lumMod val="75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lumMod val="75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a:noFill/>
          </a:ln>
          <a:effectLst/>
          <a:sp3d/>
        </c:spPr>
        <c:dLbl>
          <c:idx val="0"/>
          <c:layout>
            <c:manualLayout>
              <c:x val="-8.0194255568956634E-3"/>
              <c:y val="-2.1689910523233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a:noFill/>
          </a:ln>
          <a:effectLst/>
          <a:sp3d/>
        </c:spPr>
        <c:dLbl>
          <c:idx val="0"/>
          <c:layout>
            <c:manualLayout>
              <c:x val="9.2949140632671193E-2"/>
              <c:y val="-1.99495497167245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a:sp3d/>
        </c:spPr>
        <c:dLbl>
          <c:idx val="0"/>
          <c:layout>
            <c:manualLayout>
              <c:x val="4.7674604068863917E-2"/>
              <c:y val="-3.29109813449929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40000"/>
              <a:lumOff val="60000"/>
            </a:schemeClr>
          </a:solidFill>
          <a:ln>
            <a:noFill/>
          </a:ln>
          <a:effectLst/>
          <a:sp3d/>
        </c:spPr>
        <c:dLbl>
          <c:idx val="0"/>
          <c:layout>
            <c:manualLayout>
              <c:x val="-2.76258837563719E-3"/>
              <c:y val="-2.4242412673627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99260228418877"/>
          <c:y val="0.12573837065511084"/>
          <c:w val="0.68782228736046602"/>
          <c:h val="0.69223726789337536"/>
        </c:manualLayout>
      </c:layout>
      <c:bar3DChart>
        <c:barDir val="col"/>
        <c:grouping val="standard"/>
        <c:varyColors val="0"/>
        <c:ser>
          <c:idx val="0"/>
          <c:order val="0"/>
          <c:tx>
            <c:strRef>
              <c:f>'Pivot_Table '!$B$3:$B$4</c:f>
              <c:strCache>
                <c:ptCount val="1"/>
                <c:pt idx="0">
                  <c:v>No</c:v>
                </c:pt>
              </c:strCache>
            </c:strRef>
          </c:tx>
          <c:spPr>
            <a:solidFill>
              <a:schemeClr val="accent5">
                <a:lumMod val="40000"/>
                <a:lumOff val="60000"/>
              </a:schemeClr>
            </a:solidFill>
            <a:ln>
              <a:noFill/>
            </a:ln>
            <a:effectLst/>
            <a:sp3d/>
          </c:spPr>
          <c:invertIfNegative val="0"/>
          <c:dPt>
            <c:idx val="0"/>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9-050E-46FE-A254-0CFCB9EA463D}"/>
              </c:ext>
            </c:extLst>
          </c:dPt>
          <c:dPt>
            <c:idx val="1"/>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0-050E-46FE-A254-0CFCB9EA463D}"/>
              </c:ext>
            </c:extLst>
          </c:dPt>
          <c:dLbls>
            <c:dLbl>
              <c:idx val="0"/>
              <c:layout>
                <c:manualLayout>
                  <c:x val="-2.76258837563719E-3"/>
                  <c:y val="-2.4242412673627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50E-46FE-A254-0CFCB9EA463D}"/>
                </c:ext>
              </c:extLst>
            </c:dLbl>
            <c:dLbl>
              <c:idx val="1"/>
              <c:layout>
                <c:manualLayout>
                  <c:x val="-8.0194255568956634E-3"/>
                  <c:y val="-2.1689910523233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50E-46FE-A254-0CFCB9EA46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'!$A$5:$A$7</c:f>
              <c:strCache>
                <c:ptCount val="2"/>
                <c:pt idx="0">
                  <c:v>Female</c:v>
                </c:pt>
                <c:pt idx="1">
                  <c:v>Male</c:v>
                </c:pt>
              </c:strCache>
            </c:strRef>
          </c:cat>
          <c:val>
            <c:numRef>
              <c:f>'Pivot_Table '!$B$5:$B$7</c:f>
              <c:numCache>
                <c:formatCode>"$"#,##0</c:formatCode>
                <c:ptCount val="2"/>
                <c:pt idx="0">
                  <c:v>66428.571428571435</c:v>
                </c:pt>
                <c:pt idx="1">
                  <c:v>75384.61538461539</c:v>
                </c:pt>
              </c:numCache>
            </c:numRef>
          </c:val>
          <c:extLst>
            <c:ext xmlns:c16="http://schemas.microsoft.com/office/drawing/2014/chart" uri="{C3380CC4-5D6E-409C-BE32-E72D297353CC}">
              <c16:uniqueId val="{00000001-050E-46FE-A254-0CFCB9EA463D}"/>
            </c:ext>
          </c:extLst>
        </c:ser>
        <c:ser>
          <c:idx val="1"/>
          <c:order val="1"/>
          <c:tx>
            <c:strRef>
              <c:f>'Pivot_Table '!$C$3:$C$4</c:f>
              <c:strCache>
                <c:ptCount val="1"/>
                <c:pt idx="0">
                  <c:v>Yes</c:v>
                </c:pt>
              </c:strCache>
            </c:strRef>
          </c:tx>
          <c:spPr>
            <a:solidFill>
              <a:schemeClr val="accent5">
                <a:lumMod val="75000"/>
              </a:schemeClr>
            </a:solidFill>
            <a:ln>
              <a:noFill/>
            </a:ln>
            <a:effectLst/>
            <a:sp3d/>
          </c:spPr>
          <c:invertIfNegative val="0"/>
          <c:dPt>
            <c:idx val="0"/>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C-050E-46FE-A254-0CFCB9EA463D}"/>
              </c:ext>
            </c:extLst>
          </c:dPt>
          <c:dPt>
            <c:idx val="1"/>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0-0B28-4F00-8634-98E5C9B6E88E}"/>
              </c:ext>
            </c:extLst>
          </c:dPt>
          <c:dLbls>
            <c:dLbl>
              <c:idx val="0"/>
              <c:layout>
                <c:manualLayout>
                  <c:x val="4.7674604068863917E-2"/>
                  <c:y val="-3.29109813449929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50E-46FE-A254-0CFCB9EA463D}"/>
                </c:ext>
              </c:extLst>
            </c:dLbl>
            <c:dLbl>
              <c:idx val="1"/>
              <c:layout>
                <c:manualLayout>
                  <c:x val="9.2949140632671193E-2"/>
                  <c:y val="-1.99495497167245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28-4F00-8634-98E5C9B6E8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'!$A$5:$A$7</c:f>
              <c:strCache>
                <c:ptCount val="2"/>
                <c:pt idx="0">
                  <c:v>Female</c:v>
                </c:pt>
                <c:pt idx="1">
                  <c:v>Male</c:v>
                </c:pt>
              </c:strCache>
            </c:strRef>
          </c:cat>
          <c:val>
            <c:numRef>
              <c:f>'Pivot_Table '!$C$5:$C$7</c:f>
              <c:numCache>
                <c:formatCode>"$"#,##0</c:formatCode>
                <c:ptCount val="2"/>
                <c:pt idx="0">
                  <c:v>66000</c:v>
                </c:pt>
                <c:pt idx="1">
                  <c:v>70625</c:v>
                </c:pt>
              </c:numCache>
            </c:numRef>
          </c:val>
          <c:extLst>
            <c:ext xmlns:c16="http://schemas.microsoft.com/office/drawing/2014/chart" uri="{C3380CC4-5D6E-409C-BE32-E72D297353CC}">
              <c16:uniqueId val="{0000000B-050E-46FE-A254-0CFCB9EA463D}"/>
            </c:ext>
          </c:extLst>
        </c:ser>
        <c:dLbls>
          <c:showLegendKey val="0"/>
          <c:showVal val="1"/>
          <c:showCatName val="0"/>
          <c:showSerName val="0"/>
          <c:showPercent val="0"/>
          <c:showBubbleSize val="0"/>
        </c:dLbls>
        <c:gapWidth val="150"/>
        <c:shape val="box"/>
        <c:axId val="1414729104"/>
        <c:axId val="1414729584"/>
        <c:axId val="1557314592"/>
      </c:bar3DChart>
      <c:catAx>
        <c:axId val="14147291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729584"/>
        <c:crosses val="autoZero"/>
        <c:auto val="1"/>
        <c:lblAlgn val="ctr"/>
        <c:lblOffset val="100"/>
        <c:noMultiLvlLbl val="0"/>
      </c:catAx>
      <c:valAx>
        <c:axId val="1414729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729104"/>
        <c:crosses val="autoZero"/>
        <c:crossBetween val="between"/>
      </c:valAx>
      <c:serAx>
        <c:axId val="1557314592"/>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72958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525044037495697"/>
          <c:y val="0.48730966844379309"/>
          <c:w val="0.17790047434233142"/>
          <c:h val="0.2133631292974835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!PivotTable6</c:name>
    <c:fmtId val="2"/>
  </c:pivotSource>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b="1" i="0" u="none" strike="noStrike" baseline="0"/>
              <a:t>Total Bike Purchases by Status</a:t>
            </a:r>
            <a:endParaRPr lang="en-US" sz="18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49279813276628"/>
          <c:y val="0.17842675289941226"/>
          <c:w val="0.74585333109133356"/>
          <c:h val="0.66560627507936443"/>
        </c:manualLayout>
      </c:layout>
      <c:bar3DChart>
        <c:barDir val="col"/>
        <c:grouping val="clustered"/>
        <c:varyColors val="0"/>
        <c:ser>
          <c:idx val="0"/>
          <c:order val="0"/>
          <c:tx>
            <c:strRef>
              <c:f>'Pivot_Table '!$B$77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'!$A$78:$A$80</c:f>
              <c:strCache>
                <c:ptCount val="2"/>
                <c:pt idx="0">
                  <c:v>No</c:v>
                </c:pt>
                <c:pt idx="1">
                  <c:v>Yes</c:v>
                </c:pt>
              </c:strCache>
            </c:strRef>
          </c:cat>
          <c:val>
            <c:numRef>
              <c:f>'Pivot_Table '!$B$78:$B$80</c:f>
              <c:numCache>
                <c:formatCode>General</c:formatCode>
                <c:ptCount val="2"/>
                <c:pt idx="0">
                  <c:v>40</c:v>
                </c:pt>
                <c:pt idx="1">
                  <c:v>31</c:v>
                </c:pt>
              </c:numCache>
            </c:numRef>
          </c:val>
          <c:extLst>
            <c:ext xmlns:c16="http://schemas.microsoft.com/office/drawing/2014/chart" uri="{C3380CC4-5D6E-409C-BE32-E72D297353CC}">
              <c16:uniqueId val="{00000000-FB14-4385-98FA-55DC5924C35D}"/>
            </c:ext>
          </c:extLst>
        </c:ser>
        <c:dLbls>
          <c:showLegendKey val="0"/>
          <c:showVal val="1"/>
          <c:showCatName val="0"/>
          <c:showSerName val="0"/>
          <c:showPercent val="0"/>
          <c:showBubbleSize val="0"/>
        </c:dLbls>
        <c:gapWidth val="150"/>
        <c:shape val="box"/>
        <c:axId val="1746347904"/>
        <c:axId val="1746349344"/>
        <c:axId val="0"/>
      </c:bar3DChart>
      <c:catAx>
        <c:axId val="1746347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349344"/>
        <c:crosses val="autoZero"/>
        <c:auto val="1"/>
        <c:lblAlgn val="ctr"/>
        <c:lblOffset val="100"/>
        <c:noMultiLvlLbl val="0"/>
      </c:catAx>
      <c:valAx>
        <c:axId val="174634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347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4458094048326238"/>
          <c:y val="0.50354381457957664"/>
          <c:w val="0.13636555622463176"/>
          <c:h val="8.1800193555107509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 !PivotTable3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29407421369134"/>
          <c:y val="5.7104588235454584E-2"/>
          <c:w val="0.52805474069334102"/>
          <c:h val="0.87592073192078279"/>
        </c:manualLayout>
      </c:layout>
      <c:barChart>
        <c:barDir val="bar"/>
        <c:grouping val="clustered"/>
        <c:varyColors val="0"/>
        <c:ser>
          <c:idx val="0"/>
          <c:order val="0"/>
          <c:tx>
            <c:strRef>
              <c:f>'Pivot_Table '!$B$42:$B$43</c:f>
              <c:strCache>
                <c:ptCount val="1"/>
                <c:pt idx="0">
                  <c:v>No</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'!$A$44:$A$47</c:f>
              <c:strCache>
                <c:ptCount val="3"/>
                <c:pt idx="0">
                  <c:v>Adolescent</c:v>
                </c:pt>
                <c:pt idx="1">
                  <c:v>Middle Age</c:v>
                </c:pt>
                <c:pt idx="2">
                  <c:v>OLD</c:v>
                </c:pt>
              </c:strCache>
            </c:strRef>
          </c:cat>
          <c:val>
            <c:numRef>
              <c:f>'Pivot_Table '!$B$44:$B$47</c:f>
              <c:numCache>
                <c:formatCode>General</c:formatCode>
                <c:ptCount val="3"/>
                <c:pt idx="0">
                  <c:v>2</c:v>
                </c:pt>
                <c:pt idx="1">
                  <c:v>28</c:v>
                </c:pt>
                <c:pt idx="2">
                  <c:v>10</c:v>
                </c:pt>
              </c:numCache>
            </c:numRef>
          </c:val>
          <c:extLst>
            <c:ext xmlns:c16="http://schemas.microsoft.com/office/drawing/2014/chart" uri="{C3380CC4-5D6E-409C-BE32-E72D297353CC}">
              <c16:uniqueId val="{00000000-3989-4D8E-AD8D-47EB49FDF003}"/>
            </c:ext>
          </c:extLst>
        </c:ser>
        <c:ser>
          <c:idx val="1"/>
          <c:order val="1"/>
          <c:tx>
            <c:strRef>
              <c:f>'Pivot_Table '!$C$42:$C$43</c:f>
              <c:strCache>
                <c:ptCount val="1"/>
                <c:pt idx="0">
                  <c:v>Yes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 '!$A$44:$A$47</c:f>
              <c:strCache>
                <c:ptCount val="3"/>
                <c:pt idx="0">
                  <c:v>Adolescent</c:v>
                </c:pt>
                <c:pt idx="1">
                  <c:v>Middle Age</c:v>
                </c:pt>
                <c:pt idx="2">
                  <c:v>OLD</c:v>
                </c:pt>
              </c:strCache>
            </c:strRef>
          </c:cat>
          <c:val>
            <c:numRef>
              <c:f>'Pivot_Table '!$C$44:$C$47</c:f>
              <c:numCache>
                <c:formatCode>General</c:formatCode>
                <c:ptCount val="3"/>
                <c:pt idx="0">
                  <c:v>2</c:v>
                </c:pt>
                <c:pt idx="1">
                  <c:v>21</c:v>
                </c:pt>
                <c:pt idx="2">
                  <c:v>8</c:v>
                </c:pt>
              </c:numCache>
            </c:numRef>
          </c:val>
          <c:extLst>
            <c:ext xmlns:c16="http://schemas.microsoft.com/office/drawing/2014/chart" uri="{C3380CC4-5D6E-409C-BE32-E72D297353CC}">
              <c16:uniqueId val="{00000001-3989-4D8E-AD8D-47EB49FDF003}"/>
            </c:ext>
          </c:extLst>
        </c:ser>
        <c:dLbls>
          <c:dLblPos val="outEnd"/>
          <c:showLegendKey val="0"/>
          <c:showVal val="1"/>
          <c:showCatName val="0"/>
          <c:showSerName val="0"/>
          <c:showPercent val="0"/>
          <c:showBubbleSize val="0"/>
        </c:dLbls>
        <c:gapWidth val="182"/>
        <c:axId val="926745295"/>
        <c:axId val="926742895"/>
      </c:barChart>
      <c:catAx>
        <c:axId val="926745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42895"/>
        <c:crosses val="autoZero"/>
        <c:auto val="1"/>
        <c:lblAlgn val="ctr"/>
        <c:lblOffset val="100"/>
        <c:noMultiLvlLbl val="0"/>
      </c:catAx>
      <c:valAx>
        <c:axId val="926742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4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Dataset.xlsx]Pivot_Table !PivotTable2</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Bike Purchases by Commute Distance</a:t>
            </a:r>
            <a:endParaRPr lang="en-US"/>
          </a:p>
        </c:rich>
      </c:tx>
      <c:layout>
        <c:manualLayout>
          <c:xMode val="edge"/>
          <c:yMode val="edge"/>
          <c:x val="0.38694546958978926"/>
          <c:y val="0.9072163239841157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hade val="53000"/>
            </a:schemeClr>
          </a:solidFill>
          <a:ln>
            <a:noFill/>
          </a:ln>
          <a:effectLst>
            <a:outerShdw blurRad="317500" algn="ctr" rotWithShape="0">
              <a:prstClr val="black">
                <a:alpha val="25000"/>
              </a:prstClr>
            </a:outerShdw>
          </a:effectLst>
        </c:spPr>
      </c:pivotFmt>
      <c:pivotFmt>
        <c:idx val="16"/>
        <c:spPr>
          <a:solidFill>
            <a:schemeClr val="accent1">
              <a:shade val="76000"/>
            </a:schemeClr>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tint val="77000"/>
            </a:schemeClr>
          </a:solidFill>
          <a:ln>
            <a:noFill/>
          </a:ln>
          <a:effectLst>
            <a:outerShdw blurRad="317500" algn="ctr" rotWithShape="0">
              <a:prstClr val="black">
                <a:alpha val="25000"/>
              </a:prstClr>
            </a:outerShdw>
          </a:effectLst>
        </c:spPr>
      </c:pivotFmt>
      <c:pivotFmt>
        <c:idx val="19"/>
        <c:spPr>
          <a:solidFill>
            <a:schemeClr val="accent1">
              <a:tint val="54000"/>
            </a:schemeClr>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hade val="53000"/>
            </a:schemeClr>
          </a:solidFill>
          <a:ln>
            <a:noFill/>
          </a:ln>
          <a:effectLst>
            <a:outerShdw blurRad="317500" algn="ctr" rotWithShape="0">
              <a:prstClr val="black">
                <a:alpha val="25000"/>
              </a:prstClr>
            </a:outerShdw>
          </a:effectLst>
        </c:spPr>
      </c:pivotFmt>
      <c:pivotFmt>
        <c:idx val="22"/>
        <c:spPr>
          <a:solidFill>
            <a:schemeClr val="accent1">
              <a:shade val="76000"/>
            </a:schemeClr>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tint val="77000"/>
            </a:schemeClr>
          </a:solidFill>
          <a:ln>
            <a:noFill/>
          </a:ln>
          <a:effectLst>
            <a:outerShdw blurRad="317500" algn="ctr" rotWithShape="0">
              <a:prstClr val="black">
                <a:alpha val="25000"/>
              </a:prstClr>
            </a:outerShdw>
          </a:effectLst>
        </c:spPr>
      </c:pivotFmt>
      <c:pivotFmt>
        <c:idx val="25"/>
        <c:spPr>
          <a:solidFill>
            <a:schemeClr val="accent1">
              <a:tint val="54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4.380119593777336E-2"/>
          <c:y val="7.0042253469812313E-2"/>
          <c:w val="0.61091921000476546"/>
          <c:h val="0.83429130028472587"/>
        </c:manualLayout>
      </c:layout>
      <c:doughnutChart>
        <c:varyColors val="1"/>
        <c:ser>
          <c:idx val="0"/>
          <c:order val="0"/>
          <c:tx>
            <c:strRef>
              <c:f>'Pivot_Table '!$B$23:$B$24</c:f>
              <c:strCache>
                <c:ptCount val="1"/>
                <c:pt idx="0">
                  <c:v>No</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3DC-4FC4-91E5-397DB32AE434}"/>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3DC-4FC4-91E5-397DB32AE434}"/>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3DC-4FC4-91E5-397DB32AE434}"/>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3DC-4FC4-91E5-397DB32AE434}"/>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3DC-4FC4-91E5-397DB32AE4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 '!$A$25:$A$30</c:f>
              <c:strCache>
                <c:ptCount val="5"/>
                <c:pt idx="0">
                  <c:v>0-1 Miles</c:v>
                </c:pt>
                <c:pt idx="1">
                  <c:v>10+ Miles</c:v>
                </c:pt>
                <c:pt idx="2">
                  <c:v>1-2 Miles</c:v>
                </c:pt>
                <c:pt idx="3">
                  <c:v>2-5 Miles</c:v>
                </c:pt>
                <c:pt idx="4">
                  <c:v>5-10 Miles</c:v>
                </c:pt>
              </c:strCache>
            </c:strRef>
          </c:cat>
          <c:val>
            <c:numRef>
              <c:f>'Pivot_Table '!$B$25:$B$30</c:f>
              <c:numCache>
                <c:formatCode>General</c:formatCode>
                <c:ptCount val="5"/>
                <c:pt idx="0">
                  <c:v>18</c:v>
                </c:pt>
                <c:pt idx="1">
                  <c:v>4</c:v>
                </c:pt>
                <c:pt idx="2">
                  <c:v>7</c:v>
                </c:pt>
                <c:pt idx="3">
                  <c:v>4</c:v>
                </c:pt>
                <c:pt idx="4">
                  <c:v>7</c:v>
                </c:pt>
              </c:numCache>
            </c:numRef>
          </c:val>
          <c:extLst>
            <c:ext xmlns:c16="http://schemas.microsoft.com/office/drawing/2014/chart" uri="{C3380CC4-5D6E-409C-BE32-E72D297353CC}">
              <c16:uniqueId val="{0000000A-33DC-4FC4-91E5-397DB32AE434}"/>
            </c:ext>
          </c:extLst>
        </c:ser>
        <c:ser>
          <c:idx val="1"/>
          <c:order val="1"/>
          <c:tx>
            <c:strRef>
              <c:f>'Pivot_Table '!$C$23:$C$24</c:f>
              <c:strCache>
                <c:ptCount val="1"/>
                <c:pt idx="0">
                  <c:v>Yes</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33DC-4FC4-91E5-397DB32AE434}"/>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33DC-4FC4-91E5-397DB32AE434}"/>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33DC-4FC4-91E5-397DB32AE434}"/>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2-33DC-4FC4-91E5-397DB32AE434}"/>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4-33DC-4FC4-91E5-397DB32AE4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 '!$A$25:$A$30</c:f>
              <c:strCache>
                <c:ptCount val="5"/>
                <c:pt idx="0">
                  <c:v>0-1 Miles</c:v>
                </c:pt>
                <c:pt idx="1">
                  <c:v>10+ Miles</c:v>
                </c:pt>
                <c:pt idx="2">
                  <c:v>1-2 Miles</c:v>
                </c:pt>
                <c:pt idx="3">
                  <c:v>2-5 Miles</c:v>
                </c:pt>
                <c:pt idx="4">
                  <c:v>5-10 Miles</c:v>
                </c:pt>
              </c:strCache>
            </c:strRef>
          </c:cat>
          <c:val>
            <c:numRef>
              <c:f>'Pivot_Table '!$C$25:$C$30</c:f>
              <c:numCache>
                <c:formatCode>General</c:formatCode>
                <c:ptCount val="5"/>
                <c:pt idx="0">
                  <c:v>13</c:v>
                </c:pt>
                <c:pt idx="2">
                  <c:v>5</c:v>
                </c:pt>
                <c:pt idx="3">
                  <c:v>12</c:v>
                </c:pt>
                <c:pt idx="4">
                  <c:v>1</c:v>
                </c:pt>
              </c:numCache>
            </c:numRef>
          </c:val>
          <c:extLst>
            <c:ext xmlns:c16="http://schemas.microsoft.com/office/drawing/2014/chart" uri="{C3380CC4-5D6E-409C-BE32-E72D297353CC}">
              <c16:uniqueId val="{00000015-33DC-4FC4-91E5-397DB32AE434}"/>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72239870831608965"/>
          <c:y val="0.44800683523228518"/>
          <c:w val="0.23530014247493367"/>
          <c:h val="0.19031414666086061"/>
        </c:manualLayout>
      </c:layout>
      <c:overlay val="0"/>
      <c:spPr>
        <a:solidFill>
          <a:schemeClr val="lt1">
            <a:alpha val="78000"/>
          </a:schemeClr>
        </a:solidFill>
        <a:ln>
          <a:noFill/>
        </a:ln>
        <a:effectLst/>
      </c:spPr>
      <c:txPr>
        <a:bodyPr rot="0" spcFirstLastPara="1" vertOverflow="ellipsis" vert="horz" wrap="square" anchor="ctr" anchorCtr="1"/>
        <a:lstStyle/>
        <a:p>
          <a:pPr>
            <a:defRPr sz="1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426726</xdr:colOff>
      <xdr:row>0</xdr:row>
      <xdr:rowOff>80010</xdr:rowOff>
    </xdr:from>
    <xdr:to>
      <xdr:col>12</xdr:col>
      <xdr:colOff>121926</xdr:colOff>
      <xdr:row>15</xdr:row>
      <xdr:rowOff>80010</xdr:rowOff>
    </xdr:to>
    <xdr:graphicFrame macro="">
      <xdr:nvGraphicFramePr>
        <xdr:cNvPr id="2" name="Chart 1">
          <a:extLst>
            <a:ext uri="{FF2B5EF4-FFF2-40B4-BE49-F238E27FC236}">
              <a16:creationId xmlns:a16="http://schemas.microsoft.com/office/drawing/2014/main" id="{FE621C5C-4935-F2BF-8365-C51F3C227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574917</xdr:colOff>
      <xdr:row>17</xdr:row>
      <xdr:rowOff>32405</xdr:rowOff>
    </xdr:from>
    <xdr:to>
      <xdr:col>13</xdr:col>
      <xdr:colOff>266975</xdr:colOff>
      <xdr:row>32</xdr:row>
      <xdr:rowOff>32405</xdr:rowOff>
    </xdr:to>
    <xdr:graphicFrame macro="">
      <xdr:nvGraphicFramePr>
        <xdr:cNvPr id="3" name="Chart 2">
          <a:extLst>
            <a:ext uri="{FF2B5EF4-FFF2-40B4-BE49-F238E27FC236}">
              <a16:creationId xmlns:a16="http://schemas.microsoft.com/office/drawing/2014/main" id="{72760B79-F091-D40C-756E-BC9D9A43D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371103</xdr:colOff>
      <xdr:row>39</xdr:row>
      <xdr:rowOff>13855</xdr:rowOff>
    </xdr:from>
    <xdr:to>
      <xdr:col>12</xdr:col>
      <xdr:colOff>34636</xdr:colOff>
      <xdr:row>54</xdr:row>
      <xdr:rowOff>85107</xdr:rowOff>
    </xdr:to>
    <xdr:graphicFrame macro="">
      <xdr:nvGraphicFramePr>
        <xdr:cNvPr id="4" name="Chart 3">
          <a:extLst>
            <a:ext uri="{FF2B5EF4-FFF2-40B4-BE49-F238E27FC236}">
              <a16:creationId xmlns:a16="http://schemas.microsoft.com/office/drawing/2014/main" id="{1B6F93A7-D328-F1C7-7342-B733AB8E3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456913</xdr:colOff>
      <xdr:row>58</xdr:row>
      <xdr:rowOff>42240</xdr:rowOff>
    </xdr:from>
    <xdr:to>
      <xdr:col>12</xdr:col>
      <xdr:colOff>122399</xdr:colOff>
      <xdr:row>73</xdr:row>
      <xdr:rowOff>115836</xdr:rowOff>
    </xdr:to>
    <xdr:graphicFrame macro="">
      <xdr:nvGraphicFramePr>
        <xdr:cNvPr id="7" name="Chart 6">
          <a:extLst>
            <a:ext uri="{FF2B5EF4-FFF2-40B4-BE49-F238E27FC236}">
              <a16:creationId xmlns:a16="http://schemas.microsoft.com/office/drawing/2014/main" id="{0379548B-46BC-620A-D77B-D68FF6260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315830</xdr:colOff>
      <xdr:row>75</xdr:row>
      <xdr:rowOff>62163</xdr:rowOff>
    </xdr:from>
    <xdr:to>
      <xdr:col>11</xdr:col>
      <xdr:colOff>606593</xdr:colOff>
      <xdr:row>90</xdr:row>
      <xdr:rowOff>98257</xdr:rowOff>
    </xdr:to>
    <xdr:graphicFrame macro="">
      <xdr:nvGraphicFramePr>
        <xdr:cNvPr id="8" name="Chart 7">
          <a:extLst>
            <a:ext uri="{FF2B5EF4-FFF2-40B4-BE49-F238E27FC236}">
              <a16:creationId xmlns:a16="http://schemas.microsoft.com/office/drawing/2014/main" id="{CB773127-BE6D-4527-3D85-B61FAAC01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290659</xdr:colOff>
      <xdr:row>69</xdr:row>
      <xdr:rowOff>3143</xdr:rowOff>
    </xdr:from>
    <xdr:to>
      <xdr:col>16</xdr:col>
      <xdr:colOff>573463</xdr:colOff>
      <xdr:row>84</xdr:row>
      <xdr:rowOff>36136</xdr:rowOff>
    </xdr:to>
    <xdr:graphicFrame macro="">
      <xdr:nvGraphicFramePr>
        <xdr:cNvPr id="5" name="Chart 4">
          <a:extLst>
            <a:ext uri="{FF2B5EF4-FFF2-40B4-BE49-F238E27FC236}">
              <a16:creationId xmlns:a16="http://schemas.microsoft.com/office/drawing/2014/main" id="{224BB6CC-D83B-E554-C584-25D47F024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447773</xdr:colOff>
      <xdr:row>39</xdr:row>
      <xdr:rowOff>152400</xdr:rowOff>
    </xdr:from>
    <xdr:to>
      <xdr:col>19</xdr:col>
      <xdr:colOff>180680</xdr:colOff>
      <xdr:row>55</xdr:row>
      <xdr:rowOff>4713</xdr:rowOff>
    </xdr:to>
    <xdr:graphicFrame macro="">
      <xdr:nvGraphicFramePr>
        <xdr:cNvPr id="6" name="Chart 5">
          <a:extLst>
            <a:ext uri="{FF2B5EF4-FFF2-40B4-BE49-F238E27FC236}">
              <a16:creationId xmlns:a16="http://schemas.microsoft.com/office/drawing/2014/main" id="{88BC713D-4A8C-1143-0E72-8CBB749BD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549897</xdr:colOff>
      <xdr:row>6</xdr:row>
      <xdr:rowOff>18854</xdr:rowOff>
    </xdr:from>
    <xdr:to>
      <xdr:col>19</xdr:col>
      <xdr:colOff>282804</xdr:colOff>
      <xdr:row>21</xdr:row>
      <xdr:rowOff>51847</xdr:rowOff>
    </xdr:to>
    <xdr:graphicFrame macro="">
      <xdr:nvGraphicFramePr>
        <xdr:cNvPr id="9" name="Chart 8">
          <a:extLst>
            <a:ext uri="{FF2B5EF4-FFF2-40B4-BE49-F238E27FC236}">
              <a16:creationId xmlns:a16="http://schemas.microsoft.com/office/drawing/2014/main" id="{C3EDC6F8-C41D-4BDE-3C4E-EF0C3DC56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108522</xdr:colOff>
      <xdr:row>15</xdr:row>
      <xdr:rowOff>41181</xdr:rowOff>
    </xdr:from>
    <xdr:to>
      <xdr:col>24</xdr:col>
      <xdr:colOff>577746</xdr:colOff>
      <xdr:row>38</xdr:row>
      <xdr:rowOff>180935</xdr:rowOff>
    </xdr:to>
    <xdr:graphicFrame macro="">
      <xdr:nvGraphicFramePr>
        <xdr:cNvPr id="4" name="Chart 3">
          <a:extLst>
            <a:ext uri="{FF2B5EF4-FFF2-40B4-BE49-F238E27FC236}">
              <a16:creationId xmlns:a16="http://schemas.microsoft.com/office/drawing/2014/main" id="{3A0CF08F-ED24-4E23-84F0-C688F96E6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390368</xdr:colOff>
      <xdr:row>15</xdr:row>
      <xdr:rowOff>28691</xdr:rowOff>
    </xdr:from>
    <xdr:to>
      <xdr:col>14</xdr:col>
      <xdr:colOff>259401</xdr:colOff>
      <xdr:row>38</xdr:row>
      <xdr:rowOff>144632</xdr:rowOff>
    </xdr:to>
    <xdr:graphicFrame macro="">
      <xdr:nvGraphicFramePr>
        <xdr:cNvPr id="12" name="Chart 11">
          <a:extLst>
            <a:ext uri="{FF2B5EF4-FFF2-40B4-BE49-F238E27FC236}">
              <a16:creationId xmlns:a16="http://schemas.microsoft.com/office/drawing/2014/main" id="{C40E6A05-354B-4F54-A8EB-8938C7A7F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24983</xdr:colOff>
      <xdr:row>5</xdr:row>
      <xdr:rowOff>25875</xdr:rowOff>
    </xdr:from>
    <xdr:ext cx="10844893" cy="1595950"/>
    <xdr:sp macro="" textlink="">
      <xdr:nvSpPr>
        <xdr:cNvPr id="14" name="TextBox 13">
          <a:extLst>
            <a:ext uri="{FF2B5EF4-FFF2-40B4-BE49-F238E27FC236}">
              <a16:creationId xmlns:a16="http://schemas.microsoft.com/office/drawing/2014/main" id="{418F05FF-D766-1765-44F4-4C1F00C22DB5}"/>
            </a:ext>
          </a:extLst>
        </xdr:cNvPr>
        <xdr:cNvSpPr txBox="1"/>
      </xdr:nvSpPr>
      <xdr:spPr>
        <a:xfrm>
          <a:off x="24983" y="1200105"/>
          <a:ext cx="10844893" cy="159595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2000" b="1">
              <a:solidFill>
                <a:schemeClr val="tx1"/>
              </a:solidFill>
              <a:latin typeface="Cambria" panose="02040503050406030204" pitchFamily="18" charset="0"/>
              <a:ea typeface="Cambria" panose="02040503050406030204" pitchFamily="18" charset="0"/>
            </a:rPr>
            <a:t>Overview:</a:t>
          </a:r>
          <a:br>
            <a:rPr lang="en-US" sz="2000" b="1">
              <a:solidFill>
                <a:schemeClr val="tx1"/>
              </a:solidFill>
              <a:latin typeface="Cambria" panose="02040503050406030204" pitchFamily="18" charset="0"/>
              <a:ea typeface="Cambria" panose="02040503050406030204" pitchFamily="18" charset="0"/>
            </a:rPr>
          </a:br>
          <a:r>
            <a:rPr lang="en-US" sz="2000" b="1">
              <a:solidFill>
                <a:schemeClr val="tx1"/>
              </a:solidFill>
              <a:latin typeface="Cambria" panose="02040503050406030204" pitchFamily="18" charset="0"/>
              <a:ea typeface="Cambria" panose="02040503050406030204" pitchFamily="18" charset="0"/>
            </a:rPr>
            <a:t>This interactive Bike Sales Dashboard provides key insights into customer demographics, income levels, regions, and purchasing behavior. Users can filter the data by marital status, region</a:t>
          </a:r>
          <a:r>
            <a:rPr lang="en-US" sz="2000" b="1" baseline="0">
              <a:solidFill>
                <a:schemeClr val="tx1"/>
              </a:solidFill>
              <a:latin typeface="Cambria" panose="02040503050406030204" pitchFamily="18" charset="0"/>
              <a:ea typeface="Cambria" panose="02040503050406030204" pitchFamily="18" charset="0"/>
            </a:rPr>
            <a:t> and</a:t>
          </a:r>
          <a:r>
            <a:rPr lang="en-US" sz="2000" b="1">
              <a:solidFill>
                <a:schemeClr val="tx1"/>
              </a:solidFill>
              <a:latin typeface="Cambria" panose="02040503050406030204" pitchFamily="18" charset="0"/>
              <a:ea typeface="Cambria" panose="02040503050406030204" pitchFamily="18" charset="0"/>
            </a:rPr>
            <a:t> education</a:t>
          </a:r>
          <a:r>
            <a:rPr lang="en-US" sz="2000" b="1" baseline="0">
              <a:solidFill>
                <a:schemeClr val="tx1"/>
              </a:solidFill>
              <a:latin typeface="Cambria" panose="02040503050406030204" pitchFamily="18" charset="0"/>
              <a:ea typeface="Cambria" panose="02040503050406030204" pitchFamily="18" charset="0"/>
            </a:rPr>
            <a:t> </a:t>
          </a:r>
          <a:r>
            <a:rPr lang="en-US" sz="2000" b="1">
              <a:solidFill>
                <a:schemeClr val="tx1"/>
              </a:solidFill>
              <a:latin typeface="Cambria" panose="02040503050406030204" pitchFamily="18" charset="0"/>
              <a:ea typeface="Cambria" panose="02040503050406030204" pitchFamily="18" charset="0"/>
            </a:rPr>
            <a:t>to analyze how different factors influence bike purchases. The visualizations help identify target audiences and trends in customer preferences.</a:t>
          </a:r>
        </a:p>
      </xdr:txBody>
    </xdr:sp>
    <xdr:clientData/>
  </xdr:oneCellAnchor>
  <xdr:twoCellAnchor>
    <xdr:from>
      <xdr:col>15</xdr:col>
      <xdr:colOff>180017</xdr:colOff>
      <xdr:row>40</xdr:row>
      <xdr:rowOff>64466</xdr:rowOff>
    </xdr:from>
    <xdr:to>
      <xdr:col>24</xdr:col>
      <xdr:colOff>588006</xdr:colOff>
      <xdr:row>63</xdr:row>
      <xdr:rowOff>183807</xdr:rowOff>
    </xdr:to>
    <xdr:graphicFrame macro="">
      <xdr:nvGraphicFramePr>
        <xdr:cNvPr id="15" name="Chart 14">
          <a:extLst>
            <a:ext uri="{FF2B5EF4-FFF2-40B4-BE49-F238E27FC236}">
              <a16:creationId xmlns:a16="http://schemas.microsoft.com/office/drawing/2014/main" id="{60B2C243-0DEC-433A-BC1C-D69A480FD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176837</xdr:colOff>
      <xdr:row>15</xdr:row>
      <xdr:rowOff>13533</xdr:rowOff>
    </xdr:from>
    <xdr:to>
      <xdr:col>4</xdr:col>
      <xdr:colOff>207849</xdr:colOff>
      <xdr:row>40</xdr:row>
      <xdr:rowOff>138773</xdr:rowOff>
    </xdr:to>
    <xdr:grpSp>
      <xdr:nvGrpSpPr>
        <xdr:cNvPr id="2" name="Group 1">
          <a:extLst>
            <a:ext uri="{FF2B5EF4-FFF2-40B4-BE49-F238E27FC236}">
              <a16:creationId xmlns:a16="http://schemas.microsoft.com/office/drawing/2014/main" id="{7189E86C-740D-4821-1E50-9D1685F18129}"/>
            </a:ext>
          </a:extLst>
        </xdr:cNvPr>
        <xdr:cNvGrpSpPr/>
      </xdr:nvGrpSpPr>
      <xdr:grpSpPr>
        <a:xfrm>
          <a:off x="176837" y="3045982"/>
          <a:ext cx="2456971" cy="4790546"/>
          <a:chOff x="214313" y="1624976"/>
          <a:chExt cx="2479405" cy="4809666"/>
        </a:xfrm>
      </xdr:grpSpPr>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AB54629-0891-1D0B-C01B-692BA709A9FF}"/>
                  </a:ext>
                </a:extLst>
              </xdr:cNvPr>
              <xdr:cNvGraphicFramePr/>
            </xdr:nvGraphicFramePr>
            <xdr:xfrm>
              <a:off x="225786" y="2826124"/>
              <a:ext cx="2462247" cy="1170453"/>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8314" y="4047545"/>
                <a:ext cx="2463134" cy="1106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D6472CDF-7697-EA2F-D733-676650470D6E}"/>
                  </a:ext>
                </a:extLst>
              </xdr:cNvPr>
              <xdr:cNvGraphicFramePr/>
            </xdr:nvGraphicFramePr>
            <xdr:xfrm>
              <a:off x="214313" y="4315137"/>
              <a:ext cx="2467875" cy="2119505"/>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6837" y="5455414"/>
                <a:ext cx="2468764" cy="2004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Marital Status">
                <a:extLst>
                  <a:ext uri="{FF2B5EF4-FFF2-40B4-BE49-F238E27FC236}">
                    <a16:creationId xmlns:a16="http://schemas.microsoft.com/office/drawing/2014/main" id="{E92A5927-25AD-3790-0673-B29BC5680AE5}"/>
                  </a:ext>
                </a:extLst>
              </xdr:cNvPr>
              <xdr:cNvGraphicFramePr/>
            </xdr:nvGraphicFramePr>
            <xdr:xfrm>
              <a:off x="217808" y="1624976"/>
              <a:ext cx="2475910" cy="1032135"/>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80333" y="2911854"/>
                <a:ext cx="2476802" cy="975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390370</xdr:colOff>
      <xdr:row>40</xdr:row>
      <xdr:rowOff>129949</xdr:rowOff>
    </xdr:from>
    <xdr:to>
      <xdr:col>14</xdr:col>
      <xdr:colOff>273951</xdr:colOff>
      <xdr:row>64</xdr:row>
      <xdr:rowOff>55866</xdr:rowOff>
    </xdr:to>
    <xdr:graphicFrame macro="">
      <xdr:nvGraphicFramePr>
        <xdr:cNvPr id="18" name="Chart 17">
          <a:extLst>
            <a:ext uri="{FF2B5EF4-FFF2-40B4-BE49-F238E27FC236}">
              <a16:creationId xmlns:a16="http://schemas.microsoft.com/office/drawing/2014/main" id="{2FBF9D28-601F-4AE7-9C48-BF003D8AC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93.895950231483" createdVersion="8" refreshedVersion="8" minRefreshableVersion="3" recordCount="1000" xr:uid="{4FF524F1-8D9A-452B-AB83-B6EB78055444}">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69216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0"/>
  </r>
  <r>
    <n v="24381"/>
    <x v="1"/>
    <x v="1"/>
    <n v="70000"/>
    <n v="0"/>
    <x v="0"/>
    <s v="Professional"/>
    <s v="Yes"/>
    <n v="1"/>
    <x v="2"/>
    <x v="1"/>
    <n v="41"/>
    <x v="1"/>
    <x v="1"/>
  </r>
  <r>
    <n v="25597"/>
    <x v="1"/>
    <x v="1"/>
    <n v="30000"/>
    <n v="0"/>
    <x v="0"/>
    <s v="Clerical"/>
    <s v="No"/>
    <n v="0"/>
    <x v="0"/>
    <x v="0"/>
    <n v="36"/>
    <x v="0"/>
    <x v="1"/>
  </r>
  <r>
    <n v="13507"/>
    <x v="0"/>
    <x v="0"/>
    <n v="10000"/>
    <n v="2"/>
    <x v="1"/>
    <s v="Manual"/>
    <s v="Yes"/>
    <n v="0"/>
    <x v="3"/>
    <x v="0"/>
    <n v="50"/>
    <x v="0"/>
    <x v="0"/>
  </r>
  <r>
    <n v="27974"/>
    <x v="1"/>
    <x v="1"/>
    <n v="160000"/>
    <n v="2"/>
    <x v="2"/>
    <s v="Management"/>
    <s v="Yes"/>
    <n v="4"/>
    <x v="0"/>
    <x v="1"/>
    <n v="33"/>
    <x v="1"/>
    <x v="1"/>
  </r>
  <r>
    <n v="19364"/>
    <x v="0"/>
    <x v="1"/>
    <n v="40000"/>
    <n v="1"/>
    <x v="0"/>
    <s v="Skilled Manual"/>
    <s v="Yes"/>
    <n v="0"/>
    <x v="0"/>
    <x v="0"/>
    <n v="43"/>
    <x v="0"/>
    <x v="1"/>
  </r>
  <r>
    <n v="22155"/>
    <x v="0"/>
    <x v="1"/>
    <n v="20000"/>
    <n v="2"/>
    <x v="3"/>
    <s v="Clerical"/>
    <s v="Yes"/>
    <n v="2"/>
    <x v="2"/>
    <x v="1"/>
    <n v="58"/>
    <x v="0"/>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2"/>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1"/>
    <x v="0"/>
  </r>
  <r>
    <n v="27183"/>
    <x v="1"/>
    <x v="1"/>
    <n v="40000"/>
    <n v="2"/>
    <x v="1"/>
    <s v="Clerical"/>
    <s v="Yes"/>
    <n v="1"/>
    <x v="3"/>
    <x v="0"/>
    <n v="35"/>
    <x v="2"/>
    <x v="1"/>
  </r>
  <r>
    <n v="25940"/>
    <x v="1"/>
    <x v="1"/>
    <n v="20000"/>
    <n v="2"/>
    <x v="3"/>
    <s v="Clerical"/>
    <s v="Yes"/>
    <n v="2"/>
    <x v="2"/>
    <x v="1"/>
    <n v="55"/>
    <x v="0"/>
    <x v="1"/>
  </r>
  <r>
    <n v="25598"/>
    <x v="0"/>
    <x v="0"/>
    <n v="40000"/>
    <n v="0"/>
    <x v="4"/>
    <s v="Clerical"/>
    <s v="Yes"/>
    <n v="0"/>
    <x v="0"/>
    <x v="0"/>
    <n v="36"/>
    <x v="0"/>
    <x v="1"/>
  </r>
  <r>
    <n v="21564"/>
    <x v="1"/>
    <x v="0"/>
    <n v="80000"/>
    <n v="0"/>
    <x v="0"/>
    <s v="Professional"/>
    <s v="Yes"/>
    <n v="4"/>
    <x v="4"/>
    <x v="1"/>
    <n v="35"/>
    <x v="1"/>
    <x v="0"/>
  </r>
  <r>
    <n v="19193"/>
    <x v="1"/>
    <x v="1"/>
    <n v="40000"/>
    <n v="2"/>
    <x v="1"/>
    <s v="Clerical"/>
    <s v="Yes"/>
    <n v="0"/>
    <x v="3"/>
    <x v="0"/>
    <n v="35"/>
    <x v="0"/>
    <x v="1"/>
  </r>
  <r>
    <n v="26412"/>
    <x v="0"/>
    <x v="0"/>
    <n v="80000"/>
    <n v="5"/>
    <x v="2"/>
    <s v="Management"/>
    <s v="No"/>
    <n v="3"/>
    <x v="2"/>
    <x v="0"/>
    <n v="56"/>
    <x v="0"/>
    <x v="0"/>
  </r>
  <r>
    <n v="27184"/>
    <x v="1"/>
    <x v="1"/>
    <n v="40000"/>
    <n v="2"/>
    <x v="1"/>
    <s v="Clerical"/>
    <s v="No"/>
    <n v="1"/>
    <x v="0"/>
    <x v="0"/>
    <n v="34"/>
    <x v="2"/>
    <x v="0"/>
  </r>
  <r>
    <n v="12590"/>
    <x v="1"/>
    <x v="1"/>
    <n v="30000"/>
    <n v="1"/>
    <x v="0"/>
    <s v="Clerical"/>
    <s v="Yes"/>
    <n v="0"/>
    <x v="0"/>
    <x v="0"/>
    <n v="63"/>
    <x v="2"/>
    <x v="0"/>
  </r>
  <r>
    <n v="17841"/>
    <x v="1"/>
    <x v="1"/>
    <n v="30000"/>
    <n v="0"/>
    <x v="1"/>
    <s v="Clerical"/>
    <s v="No"/>
    <n v="1"/>
    <x v="0"/>
    <x v="0"/>
    <n v="29"/>
    <x v="0"/>
    <x v="1"/>
  </r>
  <r>
    <n v="18283"/>
    <x v="1"/>
    <x v="0"/>
    <n v="100000"/>
    <n v="0"/>
    <x v="0"/>
    <s v="Professional"/>
    <s v="No"/>
    <n v="1"/>
    <x v="2"/>
    <x v="1"/>
    <n v="40"/>
    <x v="0"/>
    <x v="0"/>
  </r>
  <r>
    <n v="18299"/>
    <x v="0"/>
    <x v="1"/>
    <n v="70000"/>
    <n v="5"/>
    <x v="1"/>
    <s v="Skilled Manual"/>
    <s v="Yes"/>
    <n v="2"/>
    <x v="2"/>
    <x v="1"/>
    <n v="44"/>
    <x v="1"/>
    <x v="0"/>
  </r>
  <r>
    <n v="16466"/>
    <x v="1"/>
    <x v="0"/>
    <n v="20000"/>
    <n v="0"/>
    <x v="3"/>
    <s v="Manual"/>
    <s v="No"/>
    <n v="2"/>
    <x v="0"/>
    <x v="0"/>
    <n v="32"/>
    <x v="0"/>
    <x v="1"/>
  </r>
  <r>
    <n v="19273"/>
    <x v="0"/>
    <x v="0"/>
    <n v="20000"/>
    <n v="2"/>
    <x v="1"/>
    <s v="Manual"/>
    <s v="Yes"/>
    <n v="0"/>
    <x v="0"/>
    <x v="0"/>
    <n v="63"/>
    <x v="0"/>
    <x v="0"/>
  </r>
  <r>
    <n v="22400"/>
    <x v="0"/>
    <x v="1"/>
    <n v="10000"/>
    <n v="0"/>
    <x v="1"/>
    <s v="Manual"/>
    <s v="No"/>
    <n v="1"/>
    <x v="0"/>
    <x v="1"/>
    <n v="26"/>
    <x v="0"/>
    <x v="1"/>
  </r>
  <r>
    <n v="20942"/>
    <x v="1"/>
    <x v="0"/>
    <n v="20000"/>
    <n v="0"/>
    <x v="2"/>
    <s v="Manual"/>
    <s v="No"/>
    <n v="1"/>
    <x v="2"/>
    <x v="0"/>
    <n v="31"/>
    <x v="1"/>
    <x v="0"/>
  </r>
  <r>
    <n v="18484"/>
    <x v="1"/>
    <x v="1"/>
    <n v="80000"/>
    <n v="2"/>
    <x v="2"/>
    <s v="Skilled Manual"/>
    <s v="No"/>
    <n v="2"/>
    <x v="3"/>
    <x v="1"/>
    <n v="50"/>
    <x v="0"/>
    <x v="1"/>
  </r>
  <r>
    <n v="12291"/>
    <x v="1"/>
    <x v="1"/>
    <n v="90000"/>
    <n v="5"/>
    <x v="1"/>
    <s v="Professional"/>
    <s v="No"/>
    <n v="2"/>
    <x v="1"/>
    <x v="0"/>
    <n v="62"/>
    <x v="0"/>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0"/>
    <x v="0"/>
  </r>
  <r>
    <n v="16259"/>
    <x v="1"/>
    <x v="0"/>
    <n v="10000"/>
    <n v="4"/>
    <x v="3"/>
    <s v="Manual"/>
    <s v="Yes"/>
    <n v="2"/>
    <x v="0"/>
    <x v="0"/>
    <n v="40"/>
    <x v="1"/>
    <x v="1"/>
  </r>
  <r>
    <n v="27803"/>
    <x v="1"/>
    <x v="0"/>
    <n v="30000"/>
    <n v="2"/>
    <x v="1"/>
    <s v="Clerical"/>
    <s v="No"/>
    <n v="0"/>
    <x v="0"/>
    <x v="0"/>
    <n v="43"/>
    <x v="1"/>
    <x v="0"/>
  </r>
  <r>
    <n v="14347"/>
    <x v="1"/>
    <x v="0"/>
    <n v="40000"/>
    <n v="2"/>
    <x v="0"/>
    <s v="Management"/>
    <s v="Yes"/>
    <n v="2"/>
    <x v="2"/>
    <x v="1"/>
    <n v="65"/>
    <x v="0"/>
    <x v="1"/>
  </r>
  <r>
    <n v="17703"/>
    <x v="0"/>
    <x v="0"/>
    <n v="10000"/>
    <n v="1"/>
    <x v="4"/>
    <s v="Manual"/>
    <s v="Yes"/>
    <n v="0"/>
    <x v="0"/>
    <x v="0"/>
    <n v="40"/>
    <x v="0"/>
    <x v="0"/>
  </r>
  <r>
    <n v="17185"/>
    <x v="0"/>
    <x v="0"/>
    <n v="170000"/>
    <n v="4"/>
    <x v="1"/>
    <s v="Professional"/>
    <s v="No"/>
    <n v="3"/>
    <x v="2"/>
    <x v="0"/>
    <n v="48"/>
    <x v="0"/>
    <x v="1"/>
  </r>
  <r>
    <n v="29380"/>
    <x v="0"/>
    <x v="0"/>
    <n v="20000"/>
    <n v="3"/>
    <x v="2"/>
    <s v="Manual"/>
    <s v="Yes"/>
    <n v="0"/>
    <x v="0"/>
    <x v="0"/>
    <n v="41"/>
    <x v="1"/>
    <x v="1"/>
  </r>
  <r>
    <n v="23986"/>
    <x v="0"/>
    <x v="0"/>
    <n v="20000"/>
    <n v="1"/>
    <x v="0"/>
    <s v="Clerical"/>
    <s v="Yes"/>
    <n v="0"/>
    <x v="0"/>
    <x v="0"/>
    <n v="66"/>
    <x v="0"/>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0"/>
    <x v="0"/>
  </r>
  <r>
    <n v="20619"/>
    <x v="1"/>
    <x v="1"/>
    <n v="80000"/>
    <n v="0"/>
    <x v="0"/>
    <s v="Professional"/>
    <s v="No"/>
    <n v="4"/>
    <x v="4"/>
    <x v="1"/>
    <n v="35"/>
    <x v="0"/>
    <x v="0"/>
  </r>
  <r>
    <n v="12558"/>
    <x v="0"/>
    <x v="0"/>
    <n v="20000"/>
    <n v="1"/>
    <x v="0"/>
    <s v="Clerical"/>
    <s v="Yes"/>
    <n v="0"/>
    <x v="0"/>
    <x v="0"/>
    <n v="65"/>
    <x v="1"/>
    <x v="0"/>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2"/>
    <x v="1"/>
  </r>
  <r>
    <n v="20567"/>
    <x v="0"/>
    <x v="1"/>
    <n v="130000"/>
    <n v="4"/>
    <x v="1"/>
    <s v="Professional"/>
    <s v="No"/>
    <n v="4"/>
    <x v="2"/>
    <x v="0"/>
    <n v="61"/>
    <x v="0"/>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1"/>
    <x v="0"/>
  </r>
  <r>
    <n v="16713"/>
    <x v="0"/>
    <x v="1"/>
    <n v="40000"/>
    <n v="2"/>
    <x v="0"/>
    <s v="Management"/>
    <s v="Yes"/>
    <n v="1"/>
    <x v="0"/>
    <x v="1"/>
    <n v="52"/>
    <x v="0"/>
    <x v="1"/>
  </r>
  <r>
    <n v="16185"/>
    <x v="1"/>
    <x v="1"/>
    <n v="60000"/>
    <n v="4"/>
    <x v="0"/>
    <s v="Professional"/>
    <s v="Yes"/>
    <n v="3"/>
    <x v="4"/>
    <x v="1"/>
    <n v="41"/>
    <x v="2"/>
    <x v="0"/>
  </r>
  <r>
    <n v="14927"/>
    <x v="0"/>
    <x v="0"/>
    <n v="30000"/>
    <n v="1"/>
    <x v="0"/>
    <s v="Clerical"/>
    <s v="Yes"/>
    <n v="0"/>
    <x v="0"/>
    <x v="0"/>
    <n v="37"/>
    <x v="2"/>
    <x v="1"/>
  </r>
  <r>
    <n v="29337"/>
    <x v="1"/>
    <x v="1"/>
    <n v="30000"/>
    <n v="2"/>
    <x v="1"/>
    <s v="Clerical"/>
    <s v="Yes"/>
    <n v="2"/>
    <x v="2"/>
    <x v="1"/>
    <n v="68"/>
    <x v="0"/>
    <x v="0"/>
  </r>
  <r>
    <n v="29355"/>
    <x v="0"/>
    <x v="0"/>
    <n v="40000"/>
    <n v="0"/>
    <x v="4"/>
    <s v="Clerical"/>
    <s v="Yes"/>
    <n v="0"/>
    <x v="0"/>
    <x v="0"/>
    <n v="37"/>
    <x v="1"/>
    <x v="1"/>
  </r>
  <r>
    <n v="25303"/>
    <x v="1"/>
    <x v="1"/>
    <n v="30000"/>
    <n v="0"/>
    <x v="2"/>
    <s v="Manual"/>
    <s v="Yes"/>
    <n v="1"/>
    <x v="1"/>
    <x v="0"/>
    <n v="33"/>
    <x v="0"/>
    <x v="1"/>
  </r>
  <r>
    <n v="14813"/>
    <x v="1"/>
    <x v="0"/>
    <n v="20000"/>
    <n v="4"/>
    <x v="2"/>
    <s v="Manual"/>
    <s v="Yes"/>
    <n v="1"/>
    <x v="0"/>
    <x v="0"/>
    <n v="43"/>
    <x v="0"/>
    <x v="1"/>
  </r>
  <r>
    <n v="16438"/>
    <x v="0"/>
    <x v="0"/>
    <n v="10000"/>
    <n v="0"/>
    <x v="3"/>
    <s v="Manual"/>
    <s v="No"/>
    <n v="2"/>
    <x v="0"/>
    <x v="0"/>
    <n v="30"/>
    <x v="0"/>
    <x v="0"/>
  </r>
  <r>
    <n v="14238"/>
    <x v="0"/>
    <x v="1"/>
    <n v="120000"/>
    <n v="0"/>
    <x v="3"/>
    <s v="Professional"/>
    <s v="Yes"/>
    <n v="4"/>
    <x v="4"/>
    <x v="1"/>
    <n v="36"/>
    <x v="2"/>
    <x v="1"/>
  </r>
  <r>
    <n v="16200"/>
    <x v="1"/>
    <x v="0"/>
    <n v="10000"/>
    <n v="0"/>
    <x v="3"/>
    <s v="Manual"/>
    <s v="No"/>
    <n v="2"/>
    <x v="0"/>
    <x v="0"/>
    <n v="35"/>
    <x v="0"/>
    <x v="0"/>
  </r>
  <r>
    <n v="24857"/>
    <x v="0"/>
    <x v="0"/>
    <n v="130000"/>
    <n v="3"/>
    <x v="2"/>
    <s v="Professional"/>
    <s v="Yes"/>
    <n v="4"/>
    <x v="0"/>
    <x v="0"/>
    <n v="52"/>
    <x v="2"/>
    <x v="0"/>
  </r>
  <r>
    <n v="26956"/>
    <x v="1"/>
    <x v="0"/>
    <n v="20000"/>
    <n v="0"/>
    <x v="1"/>
    <s v="Manual"/>
    <s v="No"/>
    <n v="1"/>
    <x v="1"/>
    <x v="0"/>
    <n v="36"/>
    <x v="0"/>
    <x v="1"/>
  </r>
  <r>
    <n v="14517"/>
    <x v="0"/>
    <x v="0"/>
    <n v="20000"/>
    <n v="3"/>
    <x v="2"/>
    <s v="Skilled Manual"/>
    <s v="No"/>
    <n v="2"/>
    <x v="3"/>
    <x v="1"/>
    <n v="62"/>
    <x v="0"/>
    <x v="0"/>
  </r>
  <r>
    <n v="12678"/>
    <x v="1"/>
    <x v="0"/>
    <n v="130000"/>
    <n v="4"/>
    <x v="2"/>
    <s v="Management"/>
    <s v="Yes"/>
    <n v="4"/>
    <x v="0"/>
    <x v="1"/>
    <n v="31"/>
    <x v="2"/>
    <x v="0"/>
  </r>
  <r>
    <n v="16188"/>
    <x v="1"/>
    <x v="0"/>
    <n v="20000"/>
    <n v="0"/>
    <x v="3"/>
    <s v="Manual"/>
    <s v="No"/>
    <n v="2"/>
    <x v="3"/>
    <x v="0"/>
    <n v="26"/>
    <x v="0"/>
    <x v="0"/>
  </r>
  <r>
    <n v="27969"/>
    <x v="0"/>
    <x v="1"/>
    <n v="80000"/>
    <n v="0"/>
    <x v="0"/>
    <s v="Professional"/>
    <s v="Yes"/>
    <n v="2"/>
    <x v="4"/>
    <x v="1"/>
    <n v="29"/>
    <x v="2"/>
    <x v="1"/>
  </r>
  <r>
    <n v="15752"/>
    <x v="0"/>
    <x v="1"/>
    <n v="80000"/>
    <n v="2"/>
    <x v="2"/>
    <s v="Skilled Manual"/>
    <s v="No"/>
    <n v="2"/>
    <x v="3"/>
    <x v="1"/>
    <n v="50"/>
    <x v="2"/>
    <x v="1"/>
  </r>
  <r>
    <n v="27745"/>
    <x v="1"/>
    <x v="1"/>
    <n v="40000"/>
    <n v="2"/>
    <x v="0"/>
    <s v="Management"/>
    <s v="Yes"/>
    <n v="2"/>
    <x v="2"/>
    <x v="1"/>
    <n v="63"/>
    <x v="0"/>
    <x v="1"/>
  </r>
  <r>
    <n v="20828"/>
    <x v="0"/>
    <x v="0"/>
    <n v="30000"/>
    <n v="4"/>
    <x v="4"/>
    <s v="Clerical"/>
    <s v="Yes"/>
    <n v="0"/>
    <x v="0"/>
    <x v="0"/>
    <n v="45"/>
    <x v="0"/>
    <x v="1"/>
  </r>
  <r>
    <n v="19461"/>
    <x v="1"/>
    <x v="0"/>
    <n v="10000"/>
    <n v="4"/>
    <x v="3"/>
    <s v="Manual"/>
    <s v="Yes"/>
    <n v="2"/>
    <x v="0"/>
    <x v="0"/>
    <n v="40"/>
    <x v="1"/>
    <x v="0"/>
  </r>
  <r>
    <n v="26941"/>
    <x v="0"/>
    <x v="1"/>
    <n v="30000"/>
    <n v="0"/>
    <x v="0"/>
    <s v="Clerical"/>
    <s v="Yes"/>
    <n v="0"/>
    <x v="0"/>
    <x v="0"/>
    <n v="47"/>
    <x v="1"/>
    <x v="1"/>
  </r>
  <r>
    <n v="28412"/>
    <x v="1"/>
    <x v="1"/>
    <n v="20000"/>
    <n v="0"/>
    <x v="2"/>
    <s v="Manual"/>
    <s v="No"/>
    <n v="1"/>
    <x v="1"/>
    <x v="0"/>
    <n v="29"/>
    <x v="0"/>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0"/>
    <x v="0"/>
  </r>
  <r>
    <n v="25458"/>
    <x v="0"/>
    <x v="1"/>
    <n v="20000"/>
    <n v="1"/>
    <x v="2"/>
    <s v="Manual"/>
    <s v="No"/>
    <n v="1"/>
    <x v="3"/>
    <x v="0"/>
    <n v="40"/>
    <x v="0"/>
    <x v="1"/>
  </r>
  <r>
    <n v="26886"/>
    <x v="1"/>
    <x v="0"/>
    <n v="30000"/>
    <n v="0"/>
    <x v="1"/>
    <s v="Clerical"/>
    <s v="No"/>
    <n v="1"/>
    <x v="0"/>
    <x v="0"/>
    <n v="29"/>
    <x v="0"/>
    <x v="1"/>
  </r>
  <r>
    <n v="28436"/>
    <x v="1"/>
    <x v="1"/>
    <n v="30000"/>
    <n v="0"/>
    <x v="1"/>
    <s v="Clerical"/>
    <s v="No"/>
    <n v="1"/>
    <x v="0"/>
    <x v="0"/>
    <n v="30"/>
    <x v="0"/>
    <x v="1"/>
  </r>
  <r>
    <n v="19562"/>
    <x v="1"/>
    <x v="0"/>
    <n v="60000"/>
    <n v="2"/>
    <x v="0"/>
    <s v="Professional"/>
    <s v="Yes"/>
    <n v="1"/>
    <x v="1"/>
    <x v="1"/>
    <n v="37"/>
    <x v="2"/>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0"/>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0"/>
    <x v="1"/>
  </r>
  <r>
    <n v="26852"/>
    <x v="0"/>
    <x v="0"/>
    <n v="20000"/>
    <n v="3"/>
    <x v="2"/>
    <s v="Manual"/>
    <s v="Yes"/>
    <n v="2"/>
    <x v="0"/>
    <x v="0"/>
    <n v="43"/>
    <x v="0"/>
    <x v="0"/>
  </r>
  <r>
    <n v="12274"/>
    <x v="1"/>
    <x v="1"/>
    <n v="10000"/>
    <n v="2"/>
    <x v="2"/>
    <s v="Manual"/>
    <s v="Yes"/>
    <n v="0"/>
    <x v="0"/>
    <x v="0"/>
    <n v="35"/>
    <x v="0"/>
    <x v="0"/>
  </r>
  <r>
    <n v="20236"/>
    <x v="1"/>
    <x v="1"/>
    <n v="60000"/>
    <n v="3"/>
    <x v="0"/>
    <s v="Professional"/>
    <s v="No"/>
    <n v="2"/>
    <x v="0"/>
    <x v="1"/>
    <n v="43"/>
    <x v="2"/>
    <x v="1"/>
  </r>
  <r>
    <n v="24149"/>
    <x v="0"/>
    <x v="1"/>
    <n v="10000"/>
    <n v="2"/>
    <x v="1"/>
    <s v="Manual"/>
    <s v="Yes"/>
    <n v="0"/>
    <x v="3"/>
    <x v="0"/>
    <n v="49"/>
    <x v="2"/>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1"/>
    <x v="0"/>
  </r>
  <r>
    <n v="20430"/>
    <x v="0"/>
    <x v="1"/>
    <n v="70000"/>
    <n v="2"/>
    <x v="1"/>
    <s v="Skilled Manual"/>
    <s v="Yes"/>
    <n v="2"/>
    <x v="2"/>
    <x v="1"/>
    <n v="52"/>
    <x v="2"/>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1"/>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0"/>
    <x v="1"/>
  </r>
  <r>
    <n v="24140"/>
    <x v="1"/>
    <x v="1"/>
    <n v="10000"/>
    <n v="0"/>
    <x v="4"/>
    <s v="Manual"/>
    <s v="No"/>
    <n v="0"/>
    <x v="0"/>
    <x v="0"/>
    <n v="30"/>
    <x v="0"/>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0"/>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0"/>
  </r>
  <r>
    <n v="27775"/>
    <x v="1"/>
    <x v="0"/>
    <n v="40000"/>
    <n v="0"/>
    <x v="0"/>
    <s v="Clerical"/>
    <s v="No"/>
    <n v="0"/>
    <x v="0"/>
    <x v="0"/>
    <n v="38"/>
    <x v="0"/>
    <x v="1"/>
  </r>
  <r>
    <n v="29301"/>
    <x v="0"/>
    <x v="1"/>
    <n v="80000"/>
    <n v="5"/>
    <x v="0"/>
    <s v="Professional"/>
    <s v="Yes"/>
    <n v="4"/>
    <x v="3"/>
    <x v="1"/>
    <n v="40"/>
    <x v="1"/>
    <x v="0"/>
  </r>
  <r>
    <n v="12716"/>
    <x v="1"/>
    <x v="1"/>
    <n v="30000"/>
    <n v="0"/>
    <x v="1"/>
    <s v="Clerical"/>
    <s v="Yes"/>
    <n v="1"/>
    <x v="1"/>
    <x v="0"/>
    <n v="32"/>
    <x v="1"/>
    <x v="0"/>
  </r>
  <r>
    <n v="12472"/>
    <x v="0"/>
    <x v="1"/>
    <n v="30000"/>
    <n v="1"/>
    <x v="0"/>
    <s v="Clerical"/>
    <s v="Yes"/>
    <n v="1"/>
    <x v="1"/>
    <x v="0"/>
    <n v="39"/>
    <x v="0"/>
    <x v="0"/>
  </r>
  <r>
    <n v="20970"/>
    <x v="1"/>
    <x v="1"/>
    <n v="10000"/>
    <n v="2"/>
    <x v="1"/>
    <s v="Manual"/>
    <s v="Yes"/>
    <n v="1"/>
    <x v="0"/>
    <x v="0"/>
    <n v="52"/>
    <x v="2"/>
    <x v="1"/>
  </r>
  <r>
    <n v="26818"/>
    <x v="1"/>
    <x v="1"/>
    <n v="10000"/>
    <n v="3"/>
    <x v="2"/>
    <s v="Manual"/>
    <s v="Yes"/>
    <n v="1"/>
    <x v="0"/>
    <x v="0"/>
    <n v="39"/>
    <x v="0"/>
    <x v="1"/>
  </r>
  <r>
    <n v="12993"/>
    <x v="0"/>
    <x v="1"/>
    <n v="60000"/>
    <n v="2"/>
    <x v="0"/>
    <s v="Professional"/>
    <s v="Yes"/>
    <n v="1"/>
    <x v="1"/>
    <x v="1"/>
    <n v="37"/>
    <x v="0"/>
    <x v="0"/>
  </r>
  <r>
    <n v="14192"/>
    <x v="0"/>
    <x v="1"/>
    <n v="90000"/>
    <n v="4"/>
    <x v="2"/>
    <s v="Management"/>
    <s v="Yes"/>
    <n v="3"/>
    <x v="2"/>
    <x v="0"/>
    <n v="56"/>
    <x v="0"/>
    <x v="1"/>
  </r>
  <r>
    <n v="19477"/>
    <x v="0"/>
    <x v="1"/>
    <n v="40000"/>
    <n v="0"/>
    <x v="0"/>
    <s v="Professional"/>
    <s v="Yes"/>
    <n v="0"/>
    <x v="0"/>
    <x v="0"/>
    <n v="40"/>
    <x v="0"/>
    <x v="1"/>
  </r>
  <r>
    <n v="26796"/>
    <x v="1"/>
    <x v="1"/>
    <n v="40000"/>
    <n v="2"/>
    <x v="0"/>
    <s v="Management"/>
    <s v="Yes"/>
    <n v="2"/>
    <x v="2"/>
    <x v="1"/>
    <n v="65"/>
    <x v="0"/>
    <x v="1"/>
  </r>
  <r>
    <n v="21094"/>
    <x v="1"/>
    <x v="0"/>
    <n v="30000"/>
    <n v="2"/>
    <x v="1"/>
    <s v="Clerical"/>
    <s v="Yes"/>
    <n v="2"/>
    <x v="0"/>
    <x v="0"/>
    <n v="42"/>
    <x v="0"/>
    <x v="0"/>
  </r>
  <r>
    <n v="12234"/>
    <x v="0"/>
    <x v="1"/>
    <n v="10000"/>
    <n v="2"/>
    <x v="1"/>
    <s v="Manual"/>
    <s v="Yes"/>
    <n v="1"/>
    <x v="1"/>
    <x v="0"/>
    <n v="52"/>
    <x v="1"/>
    <x v="0"/>
  </r>
  <r>
    <n v="28683"/>
    <x v="1"/>
    <x v="0"/>
    <n v="10000"/>
    <n v="1"/>
    <x v="2"/>
    <s v="Manual"/>
    <s v="No"/>
    <n v="1"/>
    <x v="2"/>
    <x v="0"/>
    <n v="35"/>
    <x v="2"/>
    <x v="1"/>
  </r>
  <r>
    <n v="17994"/>
    <x v="1"/>
    <x v="1"/>
    <n v="20000"/>
    <n v="2"/>
    <x v="2"/>
    <s v="Manual"/>
    <s v="Yes"/>
    <n v="2"/>
    <x v="0"/>
    <x v="0"/>
    <n v="42"/>
    <x v="0"/>
    <x v="0"/>
  </r>
  <r>
    <n v="24273"/>
    <x v="0"/>
    <x v="0"/>
    <n v="20000"/>
    <n v="2"/>
    <x v="3"/>
    <s v="Clerical"/>
    <s v="Yes"/>
    <n v="2"/>
    <x v="2"/>
    <x v="1"/>
    <n v="55"/>
    <x v="0"/>
    <x v="1"/>
  </r>
  <r>
    <n v="26547"/>
    <x v="1"/>
    <x v="0"/>
    <n v="30000"/>
    <n v="2"/>
    <x v="1"/>
    <s v="Clerical"/>
    <s v="No"/>
    <n v="2"/>
    <x v="2"/>
    <x v="1"/>
    <n v="60"/>
    <x v="0"/>
    <x v="1"/>
  </r>
  <r>
    <n v="22500"/>
    <x v="1"/>
    <x v="1"/>
    <n v="40000"/>
    <n v="0"/>
    <x v="0"/>
    <s v="Professional"/>
    <s v="No"/>
    <n v="0"/>
    <x v="0"/>
    <x v="0"/>
    <n v="40"/>
    <x v="0"/>
    <x v="1"/>
  </r>
  <r>
    <n v="23993"/>
    <x v="1"/>
    <x v="0"/>
    <n v="10000"/>
    <n v="0"/>
    <x v="1"/>
    <s v="Manual"/>
    <s v="No"/>
    <n v="1"/>
    <x v="0"/>
    <x v="1"/>
    <n v="26"/>
    <x v="0"/>
    <x v="1"/>
  </r>
  <r>
    <n v="14832"/>
    <x v="0"/>
    <x v="1"/>
    <n v="40000"/>
    <n v="1"/>
    <x v="0"/>
    <s v="Skilled Manual"/>
    <s v="Yes"/>
    <n v="0"/>
    <x v="0"/>
    <x v="0"/>
    <n v="42"/>
    <x v="0"/>
    <x v="1"/>
  </r>
  <r>
    <n v="16614"/>
    <x v="0"/>
    <x v="0"/>
    <n v="80000"/>
    <n v="0"/>
    <x v="0"/>
    <s v="Professional"/>
    <s v="Yes"/>
    <n v="3"/>
    <x v="4"/>
    <x v="1"/>
    <n v="32"/>
    <x v="1"/>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0"/>
    <x v="0"/>
  </r>
  <r>
    <n v="12728"/>
    <x v="1"/>
    <x v="1"/>
    <n v="30000"/>
    <n v="0"/>
    <x v="1"/>
    <s v="Clerical"/>
    <s v="No"/>
    <n v="1"/>
    <x v="3"/>
    <x v="0"/>
    <n v="27"/>
    <x v="0"/>
    <x v="0"/>
  </r>
  <r>
    <n v="26154"/>
    <x v="0"/>
    <x v="1"/>
    <n v="60000"/>
    <n v="1"/>
    <x v="1"/>
    <s v="Skilled Manual"/>
    <s v="Yes"/>
    <n v="1"/>
    <x v="2"/>
    <x v="1"/>
    <n v="43"/>
    <x v="0"/>
    <x v="1"/>
  </r>
  <r>
    <n v="29117"/>
    <x v="1"/>
    <x v="1"/>
    <n v="100000"/>
    <n v="1"/>
    <x v="0"/>
    <s v="Management"/>
    <s v="No"/>
    <n v="3"/>
    <x v="0"/>
    <x v="1"/>
    <n v="48"/>
    <x v="2"/>
    <x v="0"/>
  </r>
  <r>
    <n v="17845"/>
    <x v="1"/>
    <x v="0"/>
    <n v="20000"/>
    <n v="0"/>
    <x v="3"/>
    <s v="Manual"/>
    <s v="No"/>
    <n v="2"/>
    <x v="3"/>
    <x v="0"/>
    <n v="32"/>
    <x v="2"/>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0"/>
    <x v="0"/>
  </r>
  <r>
    <n v="23979"/>
    <x v="1"/>
    <x v="1"/>
    <n v="10000"/>
    <n v="2"/>
    <x v="1"/>
    <s v="Manual"/>
    <s v="No"/>
    <n v="0"/>
    <x v="0"/>
    <x v="0"/>
    <n v="50"/>
    <x v="1"/>
    <x v="0"/>
  </r>
  <r>
    <n v="25605"/>
    <x v="1"/>
    <x v="0"/>
    <n v="20000"/>
    <n v="2"/>
    <x v="1"/>
    <s v="Manual"/>
    <s v="No"/>
    <n v="1"/>
    <x v="0"/>
    <x v="0"/>
    <n v="54"/>
    <x v="1"/>
    <x v="1"/>
  </r>
  <r>
    <n v="20797"/>
    <x v="0"/>
    <x v="0"/>
    <n v="10000"/>
    <n v="1"/>
    <x v="0"/>
    <s v="Manual"/>
    <s v="Yes"/>
    <n v="0"/>
    <x v="0"/>
    <x v="0"/>
    <n v="48"/>
    <x v="0"/>
    <x v="0"/>
  </r>
  <r>
    <n v="21980"/>
    <x v="1"/>
    <x v="0"/>
    <n v="60000"/>
    <n v="1"/>
    <x v="0"/>
    <s v="Professional"/>
    <s v="Yes"/>
    <n v="1"/>
    <x v="2"/>
    <x v="1"/>
    <n v="44"/>
    <x v="2"/>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2"/>
    <x v="0"/>
  </r>
  <r>
    <n v="22402"/>
    <x v="0"/>
    <x v="1"/>
    <n v="10000"/>
    <n v="0"/>
    <x v="1"/>
    <s v="Manual"/>
    <s v="Yes"/>
    <n v="1"/>
    <x v="1"/>
    <x v="1"/>
    <n v="25"/>
    <x v="0"/>
    <x v="1"/>
  </r>
  <r>
    <n v="15465"/>
    <x v="0"/>
    <x v="0"/>
    <n v="10000"/>
    <n v="0"/>
    <x v="1"/>
    <s v="Manual"/>
    <s v="No"/>
    <n v="1"/>
    <x v="0"/>
    <x v="1"/>
    <n v="25"/>
    <x v="1"/>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1"/>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1"/>
    <x v="0"/>
  </r>
  <r>
    <n v="19442"/>
    <x v="1"/>
    <x v="1"/>
    <n v="50000"/>
    <n v="0"/>
    <x v="4"/>
    <s v="Skilled Manual"/>
    <s v="Yes"/>
    <n v="0"/>
    <x v="0"/>
    <x v="0"/>
    <n v="37"/>
    <x v="1"/>
    <x v="1"/>
  </r>
  <r>
    <n v="17504"/>
    <x v="1"/>
    <x v="0"/>
    <n v="80000"/>
    <n v="2"/>
    <x v="1"/>
    <s v="Skilled Manual"/>
    <s v="Yes"/>
    <n v="2"/>
    <x v="2"/>
    <x v="1"/>
    <n v="52"/>
    <x v="0"/>
    <x v="1"/>
  </r>
  <r>
    <n v="12253"/>
    <x v="1"/>
    <x v="0"/>
    <n v="20000"/>
    <n v="0"/>
    <x v="1"/>
    <s v="Manual"/>
    <s v="Yes"/>
    <n v="0"/>
    <x v="0"/>
    <x v="1"/>
    <n v="29"/>
    <x v="0"/>
    <x v="1"/>
  </r>
  <r>
    <n v="27304"/>
    <x v="1"/>
    <x v="0"/>
    <n v="110000"/>
    <n v="2"/>
    <x v="1"/>
    <s v="Professional"/>
    <s v="No"/>
    <n v="3"/>
    <x v="2"/>
    <x v="0"/>
    <n v="48"/>
    <x v="1"/>
    <x v="0"/>
  </r>
  <r>
    <n v="14191"/>
    <x v="0"/>
    <x v="1"/>
    <n v="160000"/>
    <n v="4"/>
    <x v="1"/>
    <s v="Professional"/>
    <s v="No"/>
    <n v="2"/>
    <x v="4"/>
    <x v="0"/>
    <n v="55"/>
    <x v="0"/>
    <x v="1"/>
  </r>
  <r>
    <n v="12212"/>
    <x v="0"/>
    <x v="0"/>
    <n v="10000"/>
    <n v="0"/>
    <x v="4"/>
    <s v="Manual"/>
    <s v="Yes"/>
    <n v="0"/>
    <x v="0"/>
    <x v="0"/>
    <n v="37"/>
    <x v="1"/>
    <x v="1"/>
  </r>
  <r>
    <n v="25529"/>
    <x v="1"/>
    <x v="1"/>
    <n v="10000"/>
    <n v="1"/>
    <x v="4"/>
    <s v="Manual"/>
    <s v="Yes"/>
    <n v="0"/>
    <x v="0"/>
    <x v="0"/>
    <n v="44"/>
    <x v="0"/>
    <x v="0"/>
  </r>
  <r>
    <n v="22170"/>
    <x v="0"/>
    <x v="0"/>
    <n v="30000"/>
    <n v="3"/>
    <x v="1"/>
    <s v="Clerical"/>
    <s v="No"/>
    <n v="2"/>
    <x v="3"/>
    <x v="1"/>
    <n v="55"/>
    <x v="0"/>
    <x v="1"/>
  </r>
  <r>
    <n v="19445"/>
    <x v="0"/>
    <x v="0"/>
    <n v="10000"/>
    <n v="2"/>
    <x v="2"/>
    <s v="Manual"/>
    <s v="No"/>
    <n v="1"/>
    <x v="0"/>
    <x v="0"/>
    <n v="38"/>
    <x v="2"/>
    <x v="0"/>
  </r>
  <r>
    <n v="15265"/>
    <x v="1"/>
    <x v="1"/>
    <n v="40000"/>
    <n v="2"/>
    <x v="0"/>
    <s v="Management"/>
    <s v="Yes"/>
    <n v="2"/>
    <x v="2"/>
    <x v="1"/>
    <n v="66"/>
    <x v="0"/>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0"/>
    <x v="1"/>
  </r>
  <r>
    <n v="18151"/>
    <x v="1"/>
    <x v="1"/>
    <n v="80000"/>
    <n v="5"/>
    <x v="1"/>
    <s v="Professional"/>
    <s v="No"/>
    <n v="2"/>
    <x v="4"/>
    <x v="0"/>
    <n v="59"/>
    <x v="0"/>
    <x v="0"/>
  </r>
  <r>
    <n v="20606"/>
    <x v="0"/>
    <x v="0"/>
    <n v="70000"/>
    <n v="0"/>
    <x v="0"/>
    <s v="Professional"/>
    <s v="Yes"/>
    <n v="4"/>
    <x v="4"/>
    <x v="1"/>
    <n v="32"/>
    <x v="2"/>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0"/>
    <x v="0"/>
  </r>
  <r>
    <n v="26032"/>
    <x v="0"/>
    <x v="0"/>
    <n v="70000"/>
    <n v="5"/>
    <x v="0"/>
    <s v="Professional"/>
    <s v="Yes"/>
    <n v="4"/>
    <x v="4"/>
    <x v="1"/>
    <n v="41"/>
    <x v="1"/>
    <x v="0"/>
  </r>
  <r>
    <n v="17843"/>
    <x v="1"/>
    <x v="0"/>
    <n v="10000"/>
    <n v="0"/>
    <x v="3"/>
    <s v="Manual"/>
    <s v="No"/>
    <n v="2"/>
    <x v="0"/>
    <x v="0"/>
    <n v="32"/>
    <x v="2"/>
    <x v="0"/>
  </r>
  <r>
    <n v="25559"/>
    <x v="1"/>
    <x v="1"/>
    <n v="20000"/>
    <n v="0"/>
    <x v="0"/>
    <s v="Clerical"/>
    <s v="Yes"/>
    <n v="0"/>
    <x v="0"/>
    <x v="1"/>
    <n v="25"/>
    <x v="0"/>
    <x v="1"/>
  </r>
  <r>
    <n v="16209"/>
    <x v="1"/>
    <x v="0"/>
    <n v="50000"/>
    <n v="0"/>
    <x v="4"/>
    <s v="Skilled Manual"/>
    <s v="Yes"/>
    <n v="0"/>
    <x v="3"/>
    <x v="0"/>
    <n v="36"/>
    <x v="0"/>
    <x v="0"/>
  </r>
  <r>
    <n v="11147"/>
    <x v="0"/>
    <x v="1"/>
    <n v="60000"/>
    <n v="2"/>
    <x v="4"/>
    <s v="Management"/>
    <s v="Yes"/>
    <n v="1"/>
    <x v="0"/>
    <x v="1"/>
    <n v="67"/>
    <x v="0"/>
    <x v="1"/>
  </r>
  <r>
    <n v="15214"/>
    <x v="1"/>
    <x v="0"/>
    <n v="100000"/>
    <n v="0"/>
    <x v="4"/>
    <s v="Management"/>
    <s v="No"/>
    <n v="1"/>
    <x v="3"/>
    <x v="1"/>
    <n v="39"/>
    <x v="0"/>
    <x v="1"/>
  </r>
  <r>
    <n v="11453"/>
    <x v="1"/>
    <x v="1"/>
    <n v="80000"/>
    <n v="0"/>
    <x v="0"/>
    <s v="Professional"/>
    <s v="No"/>
    <n v="3"/>
    <x v="4"/>
    <x v="1"/>
    <n v="33"/>
    <x v="2"/>
    <x v="1"/>
  </r>
  <r>
    <n v="24584"/>
    <x v="1"/>
    <x v="1"/>
    <n v="60000"/>
    <n v="0"/>
    <x v="0"/>
    <s v="Professional"/>
    <s v="No"/>
    <n v="3"/>
    <x v="1"/>
    <x v="1"/>
    <n v="31"/>
    <x v="0"/>
    <x v="0"/>
  </r>
  <r>
    <n v="12585"/>
    <x v="0"/>
    <x v="1"/>
    <n v="10000"/>
    <n v="1"/>
    <x v="2"/>
    <s v="Manual"/>
    <s v="Yes"/>
    <n v="0"/>
    <x v="1"/>
    <x v="1"/>
    <n v="27"/>
    <x v="1"/>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2"/>
    <x v="0"/>
  </r>
  <r>
    <n v="15657"/>
    <x v="0"/>
    <x v="1"/>
    <n v="30000"/>
    <n v="3"/>
    <x v="4"/>
    <s v="Clerical"/>
    <s v="Yes"/>
    <n v="0"/>
    <x v="0"/>
    <x v="0"/>
    <n v="46"/>
    <x v="0"/>
    <x v="1"/>
  </r>
  <r>
    <n v="11415"/>
    <x v="1"/>
    <x v="1"/>
    <n v="90000"/>
    <n v="5"/>
    <x v="1"/>
    <s v="Professional"/>
    <s v="No"/>
    <n v="2"/>
    <x v="4"/>
    <x v="0"/>
    <n v="62"/>
    <x v="2"/>
    <x v="0"/>
  </r>
  <r>
    <n v="28729"/>
    <x v="1"/>
    <x v="0"/>
    <n v="20000"/>
    <n v="0"/>
    <x v="3"/>
    <s v="Manual"/>
    <s v="Yes"/>
    <n v="2"/>
    <x v="3"/>
    <x v="0"/>
    <n v="26"/>
    <x v="0"/>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1"/>
    <x v="1"/>
  </r>
  <r>
    <n v="20946"/>
    <x v="1"/>
    <x v="0"/>
    <n v="30000"/>
    <n v="0"/>
    <x v="1"/>
    <s v="Clerical"/>
    <s v="No"/>
    <n v="1"/>
    <x v="1"/>
    <x v="0"/>
    <n v="30"/>
    <x v="0"/>
    <x v="0"/>
  </r>
  <r>
    <n v="11451"/>
    <x v="1"/>
    <x v="1"/>
    <n v="70000"/>
    <n v="0"/>
    <x v="0"/>
    <s v="Professional"/>
    <s v="No"/>
    <n v="4"/>
    <x v="4"/>
    <x v="1"/>
    <n v="31"/>
    <x v="0"/>
    <x v="1"/>
  </r>
  <r>
    <n v="25553"/>
    <x v="0"/>
    <x v="1"/>
    <n v="30000"/>
    <n v="1"/>
    <x v="0"/>
    <s v="Clerical"/>
    <s v="Yes"/>
    <n v="0"/>
    <x v="0"/>
    <x v="0"/>
    <n v="65"/>
    <x v="0"/>
    <x v="1"/>
  </r>
  <r>
    <n v="27951"/>
    <x v="1"/>
    <x v="1"/>
    <n v="80000"/>
    <n v="4"/>
    <x v="1"/>
    <s v="Professional"/>
    <s v="No"/>
    <n v="2"/>
    <x v="1"/>
    <x v="0"/>
    <n v="54"/>
    <x v="0"/>
    <x v="1"/>
  </r>
  <r>
    <n v="25026"/>
    <x v="0"/>
    <x v="1"/>
    <n v="20000"/>
    <n v="2"/>
    <x v="3"/>
    <s v="Clerical"/>
    <s v="Yes"/>
    <n v="3"/>
    <x v="2"/>
    <x v="1"/>
    <n v="54"/>
    <x v="1"/>
    <x v="0"/>
  </r>
  <r>
    <n v="13673"/>
    <x v="1"/>
    <x v="0"/>
    <n v="20000"/>
    <n v="0"/>
    <x v="3"/>
    <s v="Manual"/>
    <s v="No"/>
    <n v="2"/>
    <x v="0"/>
    <x v="0"/>
    <n v="25"/>
    <x v="1"/>
    <x v="0"/>
  </r>
  <r>
    <n v="16043"/>
    <x v="1"/>
    <x v="1"/>
    <n v="10000"/>
    <n v="1"/>
    <x v="0"/>
    <s v="Manual"/>
    <s v="Yes"/>
    <n v="0"/>
    <x v="0"/>
    <x v="0"/>
    <n v="48"/>
    <x v="0"/>
    <x v="0"/>
  </r>
  <r>
    <n v="22399"/>
    <x v="1"/>
    <x v="1"/>
    <n v="10000"/>
    <n v="0"/>
    <x v="1"/>
    <s v="Manual"/>
    <s v="Yes"/>
    <n v="1"/>
    <x v="3"/>
    <x v="1"/>
    <n v="26"/>
    <x v="0"/>
    <x v="1"/>
  </r>
  <r>
    <n v="27696"/>
    <x v="0"/>
    <x v="1"/>
    <n v="60000"/>
    <n v="1"/>
    <x v="0"/>
    <s v="Professional"/>
    <s v="Yes"/>
    <n v="1"/>
    <x v="2"/>
    <x v="1"/>
    <n v="43"/>
    <x v="2"/>
    <x v="1"/>
  </r>
  <r>
    <n v="25313"/>
    <x v="1"/>
    <x v="1"/>
    <n v="10000"/>
    <n v="0"/>
    <x v="3"/>
    <s v="Manual"/>
    <s v="No"/>
    <n v="2"/>
    <x v="3"/>
    <x v="0"/>
    <n v="35"/>
    <x v="0"/>
    <x v="0"/>
  </r>
  <r>
    <n v="13813"/>
    <x v="0"/>
    <x v="0"/>
    <n v="30000"/>
    <n v="3"/>
    <x v="1"/>
    <s v="Clerical"/>
    <s v="No"/>
    <n v="0"/>
    <x v="0"/>
    <x v="0"/>
    <n v="42"/>
    <x v="1"/>
    <x v="0"/>
  </r>
  <r>
    <n v="18711"/>
    <x v="1"/>
    <x v="0"/>
    <n v="70000"/>
    <n v="5"/>
    <x v="0"/>
    <s v="Professional"/>
    <s v="Yes"/>
    <n v="4"/>
    <x v="4"/>
    <x v="1"/>
    <n v="39"/>
    <x v="0"/>
    <x v="0"/>
  </r>
  <r>
    <n v="19650"/>
    <x v="0"/>
    <x v="0"/>
    <n v="30000"/>
    <n v="2"/>
    <x v="1"/>
    <s v="Clerical"/>
    <s v="No"/>
    <n v="2"/>
    <x v="0"/>
    <x v="1"/>
    <n v="67"/>
    <x v="2"/>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2"/>
    <x v="0"/>
  </r>
  <r>
    <n v="28915"/>
    <x v="1"/>
    <x v="1"/>
    <n v="80000"/>
    <n v="5"/>
    <x v="2"/>
    <s v="Management"/>
    <s v="Yes"/>
    <n v="3"/>
    <x v="4"/>
    <x v="0"/>
    <n v="57"/>
    <x v="0"/>
    <x v="0"/>
  </r>
  <r>
    <n v="22830"/>
    <x v="0"/>
    <x v="1"/>
    <n v="120000"/>
    <n v="4"/>
    <x v="1"/>
    <s v="Management"/>
    <s v="Yes"/>
    <n v="3"/>
    <x v="4"/>
    <x v="0"/>
    <n v="56"/>
    <x v="2"/>
    <x v="0"/>
  </r>
  <r>
    <n v="14777"/>
    <x v="0"/>
    <x v="0"/>
    <n v="40000"/>
    <n v="0"/>
    <x v="0"/>
    <s v="Clerical"/>
    <s v="Yes"/>
    <n v="0"/>
    <x v="0"/>
    <x v="0"/>
    <n v="38"/>
    <x v="0"/>
    <x v="1"/>
  </r>
  <r>
    <n v="12591"/>
    <x v="0"/>
    <x v="0"/>
    <n v="30000"/>
    <n v="4"/>
    <x v="4"/>
    <s v="Clerical"/>
    <s v="Yes"/>
    <n v="0"/>
    <x v="0"/>
    <x v="0"/>
    <n v="45"/>
    <x v="0"/>
    <x v="0"/>
  </r>
  <r>
    <n v="24174"/>
    <x v="0"/>
    <x v="1"/>
    <n v="20000"/>
    <n v="0"/>
    <x v="0"/>
    <s v="Clerical"/>
    <s v="Yes"/>
    <n v="0"/>
    <x v="0"/>
    <x v="1"/>
    <n v="27"/>
    <x v="0"/>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1"/>
    <x v="1"/>
  </r>
  <r>
    <n v="22006"/>
    <x v="0"/>
    <x v="1"/>
    <n v="70000"/>
    <n v="5"/>
    <x v="1"/>
    <s v="Skilled Manual"/>
    <s v="Yes"/>
    <n v="3"/>
    <x v="2"/>
    <x v="1"/>
    <n v="46"/>
    <x v="1"/>
    <x v="0"/>
  </r>
  <r>
    <n v="20060"/>
    <x v="1"/>
    <x v="0"/>
    <n v="30000"/>
    <n v="0"/>
    <x v="2"/>
    <s v="Manual"/>
    <s v="No"/>
    <n v="1"/>
    <x v="1"/>
    <x v="0"/>
    <n v="34"/>
    <x v="0"/>
    <x v="1"/>
  </r>
  <r>
    <n v="17702"/>
    <x v="0"/>
    <x v="1"/>
    <n v="10000"/>
    <n v="1"/>
    <x v="4"/>
    <s v="Manual"/>
    <s v="Yes"/>
    <n v="0"/>
    <x v="0"/>
    <x v="0"/>
    <n v="37"/>
    <x v="1"/>
    <x v="0"/>
  </r>
  <r>
    <n v="12503"/>
    <x v="1"/>
    <x v="0"/>
    <n v="30000"/>
    <n v="3"/>
    <x v="1"/>
    <s v="Clerical"/>
    <s v="Yes"/>
    <n v="2"/>
    <x v="0"/>
    <x v="0"/>
    <n v="27"/>
    <x v="1"/>
    <x v="0"/>
  </r>
  <r>
    <n v="23908"/>
    <x v="1"/>
    <x v="1"/>
    <n v="30000"/>
    <n v="1"/>
    <x v="0"/>
    <s v="Clerical"/>
    <s v="No"/>
    <n v="1"/>
    <x v="0"/>
    <x v="0"/>
    <n v="39"/>
    <x v="0"/>
    <x v="1"/>
  </r>
  <r>
    <n v="22527"/>
    <x v="1"/>
    <x v="0"/>
    <n v="20000"/>
    <n v="0"/>
    <x v="2"/>
    <s v="Manual"/>
    <s v="No"/>
    <n v="1"/>
    <x v="1"/>
    <x v="0"/>
    <n v="29"/>
    <x v="0"/>
    <x v="0"/>
  </r>
  <r>
    <n v="19057"/>
    <x v="0"/>
    <x v="0"/>
    <n v="120000"/>
    <n v="3"/>
    <x v="0"/>
    <s v="Management"/>
    <s v="No"/>
    <n v="2"/>
    <x v="4"/>
    <x v="0"/>
    <n v="52"/>
    <x v="0"/>
    <x v="1"/>
  </r>
  <r>
    <n v="18494"/>
    <x v="0"/>
    <x v="1"/>
    <n v="110000"/>
    <n v="5"/>
    <x v="0"/>
    <s v="Management"/>
    <s v="Yes"/>
    <n v="4"/>
    <x v="1"/>
    <x v="1"/>
    <n v="48"/>
    <x v="1"/>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0"/>
    <x v="0"/>
  </r>
  <r>
    <n v="23432"/>
    <x v="1"/>
    <x v="1"/>
    <n v="70000"/>
    <n v="0"/>
    <x v="0"/>
    <s v="Professional"/>
    <s v="Yes"/>
    <n v="1"/>
    <x v="2"/>
    <x v="1"/>
    <n v="37"/>
    <x v="0"/>
    <x v="1"/>
  </r>
  <r>
    <n v="22931"/>
    <x v="0"/>
    <x v="1"/>
    <n v="100000"/>
    <n v="5"/>
    <x v="4"/>
    <s v="Management"/>
    <s v="No"/>
    <n v="1"/>
    <x v="3"/>
    <x v="1"/>
    <n v="78"/>
    <x v="0"/>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2"/>
    <x v="1"/>
  </r>
  <r>
    <n v="21375"/>
    <x v="1"/>
    <x v="1"/>
    <n v="20000"/>
    <n v="2"/>
    <x v="3"/>
    <s v="Clerical"/>
    <s v="Yes"/>
    <n v="2"/>
    <x v="2"/>
    <x v="1"/>
    <n v="57"/>
    <x v="0"/>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2"/>
    <x v="0"/>
  </r>
  <r>
    <n v="12705"/>
    <x v="0"/>
    <x v="1"/>
    <n v="150000"/>
    <n v="0"/>
    <x v="0"/>
    <s v="Management"/>
    <s v="Yes"/>
    <n v="4"/>
    <x v="0"/>
    <x v="1"/>
    <n v="37"/>
    <x v="0"/>
    <x v="1"/>
  </r>
  <r>
    <n v="22672"/>
    <x v="1"/>
    <x v="0"/>
    <n v="30000"/>
    <n v="2"/>
    <x v="1"/>
    <s v="Clerical"/>
    <s v="Yes"/>
    <n v="0"/>
    <x v="0"/>
    <x v="0"/>
    <n v="43"/>
    <x v="2"/>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0"/>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0"/>
    <x v="0"/>
  </r>
  <r>
    <n v="24061"/>
    <x v="0"/>
    <x v="1"/>
    <n v="10000"/>
    <n v="4"/>
    <x v="3"/>
    <s v="Manual"/>
    <s v="Yes"/>
    <n v="1"/>
    <x v="0"/>
    <x v="0"/>
    <n v="40"/>
    <x v="0"/>
    <x v="1"/>
  </r>
  <r>
    <n v="26879"/>
    <x v="1"/>
    <x v="0"/>
    <n v="20000"/>
    <n v="0"/>
    <x v="2"/>
    <s v="Manual"/>
    <s v="No"/>
    <n v="1"/>
    <x v="1"/>
    <x v="0"/>
    <n v="30"/>
    <x v="0"/>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1"/>
    <x v="0"/>
  </r>
  <r>
    <n v="24187"/>
    <x v="1"/>
    <x v="0"/>
    <n v="30000"/>
    <n v="3"/>
    <x v="4"/>
    <s v="Clerical"/>
    <s v="No"/>
    <n v="0"/>
    <x v="0"/>
    <x v="0"/>
    <n v="46"/>
    <x v="1"/>
    <x v="1"/>
  </r>
  <r>
    <n v="15758"/>
    <x v="0"/>
    <x v="1"/>
    <n v="130000"/>
    <n v="0"/>
    <x v="4"/>
    <s v="Management"/>
    <s v="Yes"/>
    <n v="0"/>
    <x v="2"/>
    <x v="1"/>
    <n v="48"/>
    <x v="2"/>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1"/>
    <x v="1"/>
  </r>
  <r>
    <n v="11378"/>
    <x v="1"/>
    <x v="0"/>
    <n v="10000"/>
    <n v="1"/>
    <x v="2"/>
    <s v="Manual"/>
    <s v="No"/>
    <n v="1"/>
    <x v="1"/>
    <x v="0"/>
    <n v="46"/>
    <x v="0"/>
    <x v="1"/>
  </r>
  <r>
    <n v="20851"/>
    <x v="1"/>
    <x v="1"/>
    <n v="20000"/>
    <n v="0"/>
    <x v="1"/>
    <s v="Manual"/>
    <s v="No"/>
    <n v="1"/>
    <x v="1"/>
    <x v="0"/>
    <n v="36"/>
    <x v="1"/>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0"/>
    <x v="0"/>
  </r>
  <r>
    <n v="17926"/>
    <x v="1"/>
    <x v="0"/>
    <n v="40000"/>
    <n v="0"/>
    <x v="0"/>
    <s v="Clerical"/>
    <s v="No"/>
    <n v="0"/>
    <x v="0"/>
    <x v="1"/>
    <n v="28"/>
    <x v="0"/>
    <x v="1"/>
  </r>
  <r>
    <n v="26928"/>
    <x v="1"/>
    <x v="1"/>
    <n v="30000"/>
    <n v="1"/>
    <x v="0"/>
    <s v="Clerical"/>
    <s v="Yes"/>
    <n v="0"/>
    <x v="0"/>
    <x v="0"/>
    <n v="62"/>
    <x v="0"/>
    <x v="1"/>
  </r>
  <r>
    <n v="20897"/>
    <x v="0"/>
    <x v="0"/>
    <n v="30000"/>
    <n v="1"/>
    <x v="0"/>
    <s v="Skilled Manual"/>
    <s v="Yes"/>
    <n v="2"/>
    <x v="0"/>
    <x v="0"/>
    <n v="40"/>
    <x v="1"/>
    <x v="0"/>
  </r>
  <r>
    <n v="28207"/>
    <x v="0"/>
    <x v="1"/>
    <n v="80000"/>
    <n v="4"/>
    <x v="4"/>
    <s v="Management"/>
    <s v="Yes"/>
    <n v="1"/>
    <x v="0"/>
    <x v="1"/>
    <n v="36"/>
    <x v="0"/>
    <x v="1"/>
  </r>
  <r>
    <n v="25923"/>
    <x v="1"/>
    <x v="1"/>
    <n v="10000"/>
    <n v="2"/>
    <x v="3"/>
    <s v="Clerical"/>
    <s v="Yes"/>
    <n v="2"/>
    <x v="2"/>
    <x v="1"/>
    <n v="58"/>
    <x v="0"/>
    <x v="0"/>
  </r>
  <r>
    <n v="11000"/>
    <x v="0"/>
    <x v="1"/>
    <n v="90000"/>
    <n v="2"/>
    <x v="0"/>
    <s v="Professional"/>
    <s v="Yes"/>
    <n v="0"/>
    <x v="3"/>
    <x v="1"/>
    <n v="40"/>
    <x v="0"/>
    <x v="1"/>
  </r>
  <r>
    <n v="20974"/>
    <x v="0"/>
    <x v="1"/>
    <n v="10000"/>
    <n v="2"/>
    <x v="0"/>
    <s v="Clerical"/>
    <s v="Yes"/>
    <n v="1"/>
    <x v="0"/>
    <x v="0"/>
    <n v="66"/>
    <x v="0"/>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0"/>
    <x v="1"/>
  </r>
  <r>
    <n v="23105"/>
    <x v="1"/>
    <x v="1"/>
    <n v="40000"/>
    <n v="3"/>
    <x v="3"/>
    <s v="Clerical"/>
    <s v="No"/>
    <n v="2"/>
    <x v="2"/>
    <x v="1"/>
    <n v="52"/>
    <x v="2"/>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2"/>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1"/>
    <x v="1"/>
  </r>
  <r>
    <n v="28379"/>
    <x v="0"/>
    <x v="1"/>
    <n v="30000"/>
    <n v="1"/>
    <x v="0"/>
    <s v="Skilled Manual"/>
    <s v="Yes"/>
    <n v="2"/>
    <x v="0"/>
    <x v="0"/>
    <n v="40"/>
    <x v="2"/>
    <x v="0"/>
  </r>
  <r>
    <n v="14865"/>
    <x v="1"/>
    <x v="1"/>
    <n v="40000"/>
    <n v="2"/>
    <x v="1"/>
    <s v="Clerical"/>
    <s v="Yes"/>
    <n v="2"/>
    <x v="3"/>
    <x v="0"/>
    <n v="36"/>
    <x v="0"/>
    <x v="0"/>
  </r>
  <r>
    <n v="12663"/>
    <x v="0"/>
    <x v="0"/>
    <n v="90000"/>
    <n v="5"/>
    <x v="3"/>
    <s v="Skilled Manual"/>
    <s v="Yes"/>
    <n v="2"/>
    <x v="4"/>
    <x v="0"/>
    <n v="59"/>
    <x v="0"/>
    <x v="0"/>
  </r>
  <r>
    <n v="24898"/>
    <x v="1"/>
    <x v="0"/>
    <n v="80000"/>
    <n v="0"/>
    <x v="0"/>
    <s v="Professional"/>
    <s v="Yes"/>
    <n v="3"/>
    <x v="4"/>
    <x v="1"/>
    <n v="32"/>
    <x v="0"/>
    <x v="0"/>
  </r>
  <r>
    <n v="19508"/>
    <x v="0"/>
    <x v="1"/>
    <n v="10000"/>
    <n v="0"/>
    <x v="3"/>
    <s v="Manual"/>
    <s v="No"/>
    <n v="2"/>
    <x v="0"/>
    <x v="0"/>
    <n v="30"/>
    <x v="0"/>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2"/>
    <x v="0"/>
  </r>
  <r>
    <n v="29424"/>
    <x v="0"/>
    <x v="1"/>
    <n v="10000"/>
    <n v="0"/>
    <x v="3"/>
    <s v="Manual"/>
    <s v="Yes"/>
    <n v="2"/>
    <x v="0"/>
    <x v="0"/>
    <n v="32"/>
    <x v="2"/>
    <x v="0"/>
  </r>
  <r>
    <n v="15926"/>
    <x v="1"/>
    <x v="0"/>
    <n v="120000"/>
    <n v="3"/>
    <x v="2"/>
    <s v="Professional"/>
    <s v="Yes"/>
    <n v="4"/>
    <x v="2"/>
    <x v="0"/>
    <n v="50"/>
    <x v="0"/>
    <x v="1"/>
  </r>
  <r>
    <n v="14554"/>
    <x v="0"/>
    <x v="1"/>
    <n v="20000"/>
    <n v="1"/>
    <x v="0"/>
    <s v="Clerical"/>
    <s v="Yes"/>
    <n v="0"/>
    <x v="0"/>
    <x v="0"/>
    <n v="66"/>
    <x v="0"/>
    <x v="0"/>
  </r>
  <r>
    <n v="16468"/>
    <x v="1"/>
    <x v="1"/>
    <n v="30000"/>
    <n v="0"/>
    <x v="1"/>
    <s v="Clerical"/>
    <s v="Yes"/>
    <n v="1"/>
    <x v="1"/>
    <x v="0"/>
    <n v="30"/>
    <x v="0"/>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1"/>
    <x v="1"/>
  </r>
  <r>
    <n v="25651"/>
    <x v="0"/>
    <x v="1"/>
    <n v="40000"/>
    <n v="1"/>
    <x v="0"/>
    <s v="Skilled Manual"/>
    <s v="No"/>
    <n v="0"/>
    <x v="0"/>
    <x v="0"/>
    <n v="43"/>
    <x v="2"/>
    <x v="1"/>
  </r>
  <r>
    <n v="22936"/>
    <x v="1"/>
    <x v="0"/>
    <n v="60000"/>
    <n v="1"/>
    <x v="1"/>
    <s v="Skilled Manual"/>
    <s v="No"/>
    <n v="1"/>
    <x v="0"/>
    <x v="1"/>
    <n v="45"/>
    <x v="0"/>
    <x v="1"/>
  </r>
  <r>
    <n v="23915"/>
    <x v="0"/>
    <x v="1"/>
    <n v="20000"/>
    <n v="2"/>
    <x v="2"/>
    <s v="Manual"/>
    <s v="Yes"/>
    <n v="2"/>
    <x v="0"/>
    <x v="0"/>
    <n v="42"/>
    <x v="2"/>
    <x v="0"/>
  </r>
  <r>
    <n v="24121"/>
    <x v="1"/>
    <x v="0"/>
    <n v="30000"/>
    <n v="0"/>
    <x v="1"/>
    <s v="Clerical"/>
    <s v="No"/>
    <n v="1"/>
    <x v="0"/>
    <x v="0"/>
    <n v="29"/>
    <x v="0"/>
    <x v="1"/>
  </r>
  <r>
    <n v="27878"/>
    <x v="1"/>
    <x v="1"/>
    <n v="20000"/>
    <n v="0"/>
    <x v="1"/>
    <s v="Manual"/>
    <s v="No"/>
    <n v="0"/>
    <x v="0"/>
    <x v="1"/>
    <n v="28"/>
    <x v="1"/>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1"/>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0"/>
    <x v="1"/>
  </r>
  <r>
    <n v="17230"/>
    <x v="0"/>
    <x v="1"/>
    <n v="80000"/>
    <n v="0"/>
    <x v="0"/>
    <s v="Professional"/>
    <s v="Yes"/>
    <n v="3"/>
    <x v="4"/>
    <x v="1"/>
    <n v="30"/>
    <x v="0"/>
    <x v="0"/>
  </r>
  <r>
    <n v="13082"/>
    <x v="1"/>
    <x v="1"/>
    <n v="130000"/>
    <n v="0"/>
    <x v="4"/>
    <s v="Management"/>
    <s v="Yes"/>
    <n v="0"/>
    <x v="1"/>
    <x v="1"/>
    <n v="48"/>
    <x v="2"/>
    <x v="1"/>
  </r>
  <r>
    <n v="22518"/>
    <x v="1"/>
    <x v="0"/>
    <n v="30000"/>
    <n v="3"/>
    <x v="1"/>
    <s v="Clerical"/>
    <s v="No"/>
    <n v="2"/>
    <x v="0"/>
    <x v="0"/>
    <n v="27"/>
    <x v="0"/>
    <x v="1"/>
  </r>
  <r>
    <n v="13687"/>
    <x v="0"/>
    <x v="1"/>
    <n v="40000"/>
    <n v="1"/>
    <x v="0"/>
    <s v="Skilled Manual"/>
    <s v="Yes"/>
    <n v="1"/>
    <x v="0"/>
    <x v="0"/>
    <n v="33"/>
    <x v="1"/>
    <x v="1"/>
  </r>
  <r>
    <n v="23571"/>
    <x v="0"/>
    <x v="0"/>
    <n v="40000"/>
    <n v="2"/>
    <x v="0"/>
    <s v="Management"/>
    <s v="Yes"/>
    <n v="2"/>
    <x v="0"/>
    <x v="1"/>
    <n v="66"/>
    <x v="1"/>
    <x v="1"/>
  </r>
  <r>
    <n v="19305"/>
    <x v="1"/>
    <x v="0"/>
    <n v="10000"/>
    <n v="2"/>
    <x v="2"/>
    <s v="Manual"/>
    <s v="Yes"/>
    <n v="1"/>
    <x v="0"/>
    <x v="0"/>
    <n v="38"/>
    <x v="0"/>
    <x v="1"/>
  </r>
  <r>
    <n v="22636"/>
    <x v="1"/>
    <x v="0"/>
    <n v="40000"/>
    <n v="0"/>
    <x v="0"/>
    <s v="Clerical"/>
    <s v="No"/>
    <n v="0"/>
    <x v="0"/>
    <x v="0"/>
    <n v="38"/>
    <x v="1"/>
    <x v="1"/>
  </r>
  <r>
    <n v="17310"/>
    <x v="0"/>
    <x v="1"/>
    <n v="60000"/>
    <n v="1"/>
    <x v="1"/>
    <s v="Skilled Manual"/>
    <s v="Yes"/>
    <n v="1"/>
    <x v="0"/>
    <x v="1"/>
    <n v="45"/>
    <x v="0"/>
    <x v="1"/>
  </r>
  <r>
    <n v="12133"/>
    <x v="0"/>
    <x v="0"/>
    <n v="130000"/>
    <n v="3"/>
    <x v="1"/>
    <s v="Professional"/>
    <s v="Yes"/>
    <n v="3"/>
    <x v="2"/>
    <x v="0"/>
    <n v="50"/>
    <x v="2"/>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2"/>
    <x v="0"/>
  </r>
  <r>
    <n v="12510"/>
    <x v="0"/>
    <x v="1"/>
    <n v="40000"/>
    <n v="1"/>
    <x v="0"/>
    <s v="Skilled Manual"/>
    <s v="Yes"/>
    <n v="1"/>
    <x v="0"/>
    <x v="0"/>
    <n v="43"/>
    <x v="0"/>
    <x v="1"/>
  </r>
  <r>
    <n v="25512"/>
    <x v="1"/>
    <x v="1"/>
    <n v="20000"/>
    <n v="0"/>
    <x v="2"/>
    <s v="Manual"/>
    <s v="No"/>
    <n v="1"/>
    <x v="1"/>
    <x v="0"/>
    <n v="30"/>
    <x v="0"/>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0"/>
    <x v="1"/>
  </r>
  <r>
    <n v="18140"/>
    <x v="0"/>
    <x v="1"/>
    <n v="130000"/>
    <n v="3"/>
    <x v="1"/>
    <s v="Professional"/>
    <s v="No"/>
    <n v="3"/>
    <x v="2"/>
    <x v="0"/>
    <n v="51"/>
    <x v="0"/>
    <x v="1"/>
  </r>
  <r>
    <n v="20417"/>
    <x v="0"/>
    <x v="1"/>
    <n v="30000"/>
    <n v="3"/>
    <x v="1"/>
    <s v="Clerical"/>
    <s v="No"/>
    <n v="2"/>
    <x v="2"/>
    <x v="1"/>
    <n v="56"/>
    <x v="0"/>
    <x v="0"/>
  </r>
  <r>
    <n v="18267"/>
    <x v="0"/>
    <x v="1"/>
    <n v="60000"/>
    <n v="3"/>
    <x v="0"/>
    <s v="Professional"/>
    <s v="Yes"/>
    <n v="2"/>
    <x v="2"/>
    <x v="1"/>
    <n v="43"/>
    <x v="0"/>
    <x v="0"/>
  </r>
  <r>
    <n v="13620"/>
    <x v="1"/>
    <x v="1"/>
    <n v="70000"/>
    <n v="0"/>
    <x v="0"/>
    <s v="Professional"/>
    <s v="No"/>
    <n v="3"/>
    <x v="4"/>
    <x v="1"/>
    <n v="30"/>
    <x v="0"/>
    <x v="1"/>
  </r>
  <r>
    <n v="22974"/>
    <x v="0"/>
    <x v="0"/>
    <n v="30000"/>
    <n v="2"/>
    <x v="1"/>
    <s v="Clerical"/>
    <s v="Yes"/>
    <n v="2"/>
    <x v="2"/>
    <x v="1"/>
    <n v="69"/>
    <x v="0"/>
    <x v="0"/>
  </r>
  <r>
    <n v="13586"/>
    <x v="0"/>
    <x v="1"/>
    <n v="80000"/>
    <n v="4"/>
    <x v="1"/>
    <s v="Professional"/>
    <s v="Yes"/>
    <n v="2"/>
    <x v="4"/>
    <x v="0"/>
    <n v="53"/>
    <x v="0"/>
    <x v="0"/>
  </r>
  <r>
    <n v="17978"/>
    <x v="0"/>
    <x v="1"/>
    <n v="40000"/>
    <n v="0"/>
    <x v="4"/>
    <s v="Clerical"/>
    <s v="Yes"/>
    <n v="0"/>
    <x v="0"/>
    <x v="0"/>
    <n v="37"/>
    <x v="0"/>
    <x v="1"/>
  </r>
  <r>
    <n v="12581"/>
    <x v="1"/>
    <x v="0"/>
    <n v="10000"/>
    <n v="0"/>
    <x v="1"/>
    <s v="Manual"/>
    <s v="No"/>
    <n v="1"/>
    <x v="0"/>
    <x v="1"/>
    <n v="28"/>
    <x v="1"/>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0"/>
    <x v="0"/>
  </r>
  <r>
    <n v="27771"/>
    <x v="1"/>
    <x v="1"/>
    <n v="30000"/>
    <n v="1"/>
    <x v="0"/>
    <s v="Clerical"/>
    <s v="Yes"/>
    <n v="1"/>
    <x v="3"/>
    <x v="0"/>
    <n v="39"/>
    <x v="0"/>
    <x v="1"/>
  </r>
  <r>
    <n v="26167"/>
    <x v="1"/>
    <x v="0"/>
    <n v="40000"/>
    <n v="2"/>
    <x v="0"/>
    <s v="Management"/>
    <s v="No"/>
    <n v="1"/>
    <x v="2"/>
    <x v="1"/>
    <n v="53"/>
    <x v="0"/>
    <x v="1"/>
  </r>
  <r>
    <n v="25792"/>
    <x v="1"/>
    <x v="0"/>
    <n v="110000"/>
    <n v="3"/>
    <x v="0"/>
    <s v="Management"/>
    <s v="Yes"/>
    <n v="4"/>
    <x v="4"/>
    <x v="0"/>
    <n v="53"/>
    <x v="1"/>
    <x v="0"/>
  </r>
  <r>
    <n v="11555"/>
    <x v="0"/>
    <x v="0"/>
    <n v="40000"/>
    <n v="1"/>
    <x v="0"/>
    <s v="Clerical"/>
    <s v="Yes"/>
    <n v="0"/>
    <x v="0"/>
    <x v="0"/>
    <n v="80"/>
    <x v="0"/>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1"/>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1"/>
    <x v="0"/>
  </r>
  <r>
    <n v="25266"/>
    <x v="1"/>
    <x v="0"/>
    <n v="30000"/>
    <n v="2"/>
    <x v="1"/>
    <s v="Clerical"/>
    <s v="No"/>
    <n v="2"/>
    <x v="2"/>
    <x v="1"/>
    <n v="67"/>
    <x v="2"/>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2"/>
    <x v="1"/>
  </r>
  <r>
    <n v="19255"/>
    <x v="1"/>
    <x v="1"/>
    <n v="10000"/>
    <n v="2"/>
    <x v="1"/>
    <s v="Manual"/>
    <s v="Yes"/>
    <n v="1"/>
    <x v="0"/>
    <x v="0"/>
    <n v="51"/>
    <x v="0"/>
    <x v="1"/>
  </r>
  <r>
    <n v="18153"/>
    <x v="0"/>
    <x v="0"/>
    <n v="100000"/>
    <n v="2"/>
    <x v="0"/>
    <s v="Management"/>
    <s v="Yes"/>
    <n v="4"/>
    <x v="4"/>
    <x v="0"/>
    <n v="59"/>
    <x v="2"/>
    <x v="0"/>
  </r>
  <r>
    <n v="14547"/>
    <x v="0"/>
    <x v="1"/>
    <n v="10000"/>
    <n v="2"/>
    <x v="1"/>
    <s v="Manual"/>
    <s v="Yes"/>
    <n v="0"/>
    <x v="3"/>
    <x v="0"/>
    <n v="51"/>
    <x v="0"/>
    <x v="0"/>
  </r>
  <r>
    <n v="24901"/>
    <x v="1"/>
    <x v="1"/>
    <n v="110000"/>
    <n v="0"/>
    <x v="1"/>
    <s v="Management"/>
    <s v="No"/>
    <n v="3"/>
    <x v="4"/>
    <x v="1"/>
    <n v="32"/>
    <x v="1"/>
    <x v="1"/>
  </r>
  <r>
    <n v="27169"/>
    <x v="1"/>
    <x v="1"/>
    <n v="30000"/>
    <n v="0"/>
    <x v="2"/>
    <s v="Manual"/>
    <s v="Yes"/>
    <n v="1"/>
    <x v="1"/>
    <x v="0"/>
    <n v="34"/>
    <x v="0"/>
    <x v="1"/>
  </r>
  <r>
    <n v="14805"/>
    <x v="1"/>
    <x v="0"/>
    <n v="10000"/>
    <n v="3"/>
    <x v="3"/>
    <s v="Manual"/>
    <s v="Yes"/>
    <n v="2"/>
    <x v="0"/>
    <x v="0"/>
    <n v="43"/>
    <x v="2"/>
    <x v="0"/>
  </r>
  <r>
    <n v="15822"/>
    <x v="0"/>
    <x v="1"/>
    <n v="40000"/>
    <n v="2"/>
    <x v="0"/>
    <s v="Management"/>
    <s v="Yes"/>
    <n v="2"/>
    <x v="0"/>
    <x v="1"/>
    <n v="67"/>
    <x v="0"/>
    <x v="0"/>
  </r>
  <r>
    <n v="19389"/>
    <x v="1"/>
    <x v="1"/>
    <n v="30000"/>
    <n v="0"/>
    <x v="1"/>
    <s v="Clerical"/>
    <s v="No"/>
    <n v="1"/>
    <x v="1"/>
    <x v="0"/>
    <n v="28"/>
    <x v="0"/>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0"/>
    <x v="1"/>
  </r>
  <r>
    <n v="21891"/>
    <x v="0"/>
    <x v="0"/>
    <n v="110000"/>
    <n v="0"/>
    <x v="2"/>
    <s v="Management"/>
    <s v="Yes"/>
    <n v="3"/>
    <x v="4"/>
    <x v="1"/>
    <n v="34"/>
    <x v="0"/>
    <x v="1"/>
  </r>
  <r>
    <n v="27814"/>
    <x v="1"/>
    <x v="0"/>
    <n v="30000"/>
    <n v="3"/>
    <x v="1"/>
    <s v="Clerical"/>
    <s v="No"/>
    <n v="1"/>
    <x v="0"/>
    <x v="0"/>
    <n v="26"/>
    <x v="0"/>
    <x v="0"/>
  </r>
  <r>
    <n v="22175"/>
    <x v="0"/>
    <x v="0"/>
    <n v="30000"/>
    <n v="3"/>
    <x v="2"/>
    <s v="Skilled Manual"/>
    <s v="Yes"/>
    <n v="2"/>
    <x v="2"/>
    <x v="1"/>
    <n v="53"/>
    <x v="0"/>
    <x v="1"/>
  </r>
  <r>
    <n v="29447"/>
    <x v="1"/>
    <x v="0"/>
    <n v="10000"/>
    <n v="2"/>
    <x v="0"/>
    <s v="Clerical"/>
    <s v="No"/>
    <n v="1"/>
    <x v="1"/>
    <x v="0"/>
    <n v="68"/>
    <x v="0"/>
    <x v="0"/>
  </r>
  <r>
    <n v="19784"/>
    <x v="0"/>
    <x v="0"/>
    <n v="80000"/>
    <n v="2"/>
    <x v="2"/>
    <s v="Skilled Manual"/>
    <s v="Yes"/>
    <n v="2"/>
    <x v="2"/>
    <x v="1"/>
    <n v="50"/>
    <x v="0"/>
    <x v="1"/>
  </r>
  <r>
    <n v="27824"/>
    <x v="1"/>
    <x v="0"/>
    <n v="30000"/>
    <n v="3"/>
    <x v="1"/>
    <s v="Clerical"/>
    <s v="Yes"/>
    <n v="2"/>
    <x v="0"/>
    <x v="0"/>
    <n v="28"/>
    <x v="0"/>
    <x v="1"/>
  </r>
  <r>
    <n v="24093"/>
    <x v="1"/>
    <x v="0"/>
    <n v="80000"/>
    <n v="0"/>
    <x v="4"/>
    <s v="Skilled Manual"/>
    <s v="No"/>
    <n v="0"/>
    <x v="0"/>
    <x v="0"/>
    <n v="40"/>
    <x v="0"/>
    <x v="1"/>
  </r>
  <r>
    <n v="19618"/>
    <x v="0"/>
    <x v="1"/>
    <n v="70000"/>
    <n v="5"/>
    <x v="1"/>
    <s v="Skilled Manual"/>
    <s v="Yes"/>
    <n v="2"/>
    <x v="0"/>
    <x v="1"/>
    <n v="44"/>
    <x v="1"/>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1"/>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1"/>
    <x v="0"/>
  </r>
  <r>
    <n v="12236"/>
    <x v="0"/>
    <x v="0"/>
    <n v="20000"/>
    <n v="1"/>
    <x v="1"/>
    <s v="Manual"/>
    <s v="Yes"/>
    <n v="0"/>
    <x v="0"/>
    <x v="0"/>
    <n v="65"/>
    <x v="2"/>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1"/>
    <x v="1"/>
  </r>
  <r>
    <n v="19331"/>
    <x v="1"/>
    <x v="1"/>
    <n v="20000"/>
    <n v="2"/>
    <x v="2"/>
    <s v="Manual"/>
    <s v="Yes"/>
    <n v="1"/>
    <x v="0"/>
    <x v="0"/>
    <n v="40"/>
    <x v="0"/>
    <x v="0"/>
  </r>
  <r>
    <n v="17754"/>
    <x v="1"/>
    <x v="0"/>
    <n v="30000"/>
    <n v="3"/>
    <x v="0"/>
    <s v="Clerical"/>
    <s v="Yes"/>
    <n v="0"/>
    <x v="0"/>
    <x v="0"/>
    <n v="46"/>
    <x v="0"/>
    <x v="1"/>
  </r>
  <r>
    <n v="11149"/>
    <x v="0"/>
    <x v="1"/>
    <n v="40000"/>
    <n v="2"/>
    <x v="0"/>
    <s v="Management"/>
    <s v="Yes"/>
    <n v="2"/>
    <x v="0"/>
    <x v="1"/>
    <n v="65"/>
    <x v="0"/>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0"/>
    <x v="0"/>
  </r>
  <r>
    <n v="15612"/>
    <x v="1"/>
    <x v="1"/>
    <n v="30000"/>
    <n v="0"/>
    <x v="2"/>
    <s v="Manual"/>
    <s v="No"/>
    <n v="1"/>
    <x v="3"/>
    <x v="0"/>
    <n v="28"/>
    <x v="1"/>
    <x v="0"/>
  </r>
  <r>
    <n v="28323"/>
    <x v="1"/>
    <x v="1"/>
    <n v="70000"/>
    <n v="0"/>
    <x v="0"/>
    <s v="Professional"/>
    <s v="No"/>
    <n v="2"/>
    <x v="2"/>
    <x v="1"/>
    <n v="43"/>
    <x v="0"/>
    <x v="1"/>
  </r>
  <r>
    <n v="22634"/>
    <x v="1"/>
    <x v="0"/>
    <n v="40000"/>
    <n v="0"/>
    <x v="4"/>
    <s v="Clerical"/>
    <s v="Yes"/>
    <n v="0"/>
    <x v="0"/>
    <x v="0"/>
    <n v="38"/>
    <x v="0"/>
    <x v="1"/>
  </r>
  <r>
    <n v="15665"/>
    <x v="0"/>
    <x v="0"/>
    <n v="30000"/>
    <n v="0"/>
    <x v="0"/>
    <s v="Clerical"/>
    <s v="Yes"/>
    <n v="0"/>
    <x v="0"/>
    <x v="0"/>
    <n v="47"/>
    <x v="1"/>
    <x v="1"/>
  </r>
  <r>
    <n v="27585"/>
    <x v="0"/>
    <x v="0"/>
    <n v="90000"/>
    <n v="2"/>
    <x v="0"/>
    <s v="Professional"/>
    <s v="No"/>
    <n v="0"/>
    <x v="0"/>
    <x v="1"/>
    <n v="36"/>
    <x v="0"/>
    <x v="1"/>
  </r>
  <r>
    <n v="19748"/>
    <x v="0"/>
    <x v="1"/>
    <n v="20000"/>
    <n v="4"/>
    <x v="2"/>
    <s v="Skilled Manual"/>
    <s v="No"/>
    <n v="2"/>
    <x v="3"/>
    <x v="1"/>
    <n v="60"/>
    <x v="0"/>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1"/>
    <x v="0"/>
  </r>
  <r>
    <n v="28564"/>
    <x v="1"/>
    <x v="0"/>
    <n v="40000"/>
    <n v="2"/>
    <x v="1"/>
    <s v="Clerical"/>
    <s v="Yes"/>
    <n v="0"/>
    <x v="3"/>
    <x v="0"/>
    <n v="33"/>
    <x v="0"/>
    <x v="1"/>
  </r>
  <r>
    <n v="28521"/>
    <x v="1"/>
    <x v="1"/>
    <n v="40000"/>
    <n v="0"/>
    <x v="4"/>
    <s v="Clerical"/>
    <s v="No"/>
    <n v="0"/>
    <x v="0"/>
    <x v="0"/>
    <n v="36"/>
    <x v="1"/>
    <x v="1"/>
  </r>
  <r>
    <n v="15450"/>
    <x v="0"/>
    <x v="1"/>
    <n v="10000"/>
    <n v="1"/>
    <x v="4"/>
    <s v="Clerical"/>
    <s v="Yes"/>
    <n v="0"/>
    <x v="0"/>
    <x v="0"/>
    <n v="70"/>
    <x v="0"/>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0"/>
    <x v="0"/>
  </r>
  <r>
    <n v="12821"/>
    <x v="0"/>
    <x v="1"/>
    <n v="40000"/>
    <n v="0"/>
    <x v="0"/>
    <s v="Clerical"/>
    <s v="Yes"/>
    <n v="0"/>
    <x v="0"/>
    <x v="0"/>
    <n v="39"/>
    <x v="0"/>
    <x v="0"/>
  </r>
  <r>
    <n v="15629"/>
    <x v="1"/>
    <x v="0"/>
    <n v="10000"/>
    <n v="0"/>
    <x v="3"/>
    <s v="Manual"/>
    <s v="Yes"/>
    <n v="2"/>
    <x v="3"/>
    <x v="0"/>
    <n v="34"/>
    <x v="0"/>
    <x v="0"/>
  </r>
  <r>
    <n v="27835"/>
    <x v="0"/>
    <x v="1"/>
    <n v="20000"/>
    <n v="0"/>
    <x v="3"/>
    <s v="Manual"/>
    <s v="Yes"/>
    <n v="2"/>
    <x v="0"/>
    <x v="0"/>
    <n v="32"/>
    <x v="2"/>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0"/>
    <x v="1"/>
  </r>
  <r>
    <n v="27650"/>
    <x v="0"/>
    <x v="1"/>
    <n v="70000"/>
    <n v="4"/>
    <x v="2"/>
    <s v="Professional"/>
    <s v="Yes"/>
    <n v="0"/>
    <x v="2"/>
    <x v="2"/>
    <n v="51"/>
    <x v="0"/>
    <x v="0"/>
  </r>
  <r>
    <n v="24981"/>
    <x v="0"/>
    <x v="1"/>
    <n v="60000"/>
    <n v="2"/>
    <x v="1"/>
    <s v="Professional"/>
    <s v="Yes"/>
    <n v="2"/>
    <x v="4"/>
    <x v="2"/>
    <n v="56"/>
    <x v="2"/>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1"/>
    <x v="1"/>
  </r>
  <r>
    <n v="26575"/>
    <x v="1"/>
    <x v="0"/>
    <n v="40000"/>
    <n v="0"/>
    <x v="2"/>
    <s v="Skilled Manual"/>
    <s v="No"/>
    <n v="2"/>
    <x v="3"/>
    <x v="2"/>
    <n v="31"/>
    <x v="0"/>
    <x v="1"/>
  </r>
  <r>
    <n v="15559"/>
    <x v="0"/>
    <x v="1"/>
    <n v="60000"/>
    <n v="5"/>
    <x v="0"/>
    <s v="Professional"/>
    <s v="Yes"/>
    <n v="1"/>
    <x v="1"/>
    <x v="2"/>
    <n v="47"/>
    <x v="1"/>
    <x v="0"/>
  </r>
  <r>
    <n v="19235"/>
    <x v="0"/>
    <x v="0"/>
    <n v="50000"/>
    <n v="0"/>
    <x v="4"/>
    <s v="Skilled Manual"/>
    <s v="Yes"/>
    <n v="0"/>
    <x v="0"/>
    <x v="2"/>
    <n v="34"/>
    <x v="0"/>
    <x v="0"/>
  </r>
  <r>
    <n v="15275"/>
    <x v="0"/>
    <x v="1"/>
    <n v="40000"/>
    <n v="0"/>
    <x v="1"/>
    <s v="Skilled Manual"/>
    <s v="Yes"/>
    <n v="1"/>
    <x v="2"/>
    <x v="2"/>
    <n v="29"/>
    <x v="0"/>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1"/>
    <x v="1"/>
  </r>
  <r>
    <n v="24738"/>
    <x v="0"/>
    <x v="0"/>
    <n v="40000"/>
    <n v="1"/>
    <x v="1"/>
    <s v="Clerical"/>
    <s v="Yes"/>
    <n v="1"/>
    <x v="3"/>
    <x v="2"/>
    <n v="51"/>
    <x v="0"/>
    <x v="1"/>
  </r>
  <r>
    <n v="16337"/>
    <x v="0"/>
    <x v="1"/>
    <n v="60000"/>
    <n v="0"/>
    <x v="1"/>
    <s v="Skilled Manual"/>
    <s v="No"/>
    <n v="2"/>
    <x v="3"/>
    <x v="2"/>
    <n v="29"/>
    <x v="1"/>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1"/>
    <x v="1"/>
  </r>
  <r>
    <n v="13353"/>
    <x v="1"/>
    <x v="0"/>
    <n v="60000"/>
    <n v="4"/>
    <x v="4"/>
    <s v="Management"/>
    <s v="Yes"/>
    <n v="2"/>
    <x v="4"/>
    <x v="2"/>
    <n v="61"/>
    <x v="0"/>
    <x v="1"/>
  </r>
  <r>
    <n v="19399"/>
    <x v="1"/>
    <x v="1"/>
    <n v="40000"/>
    <n v="0"/>
    <x v="0"/>
    <s v="Professional"/>
    <s v="No"/>
    <n v="1"/>
    <x v="1"/>
    <x v="2"/>
    <n v="45"/>
    <x v="0"/>
    <x v="0"/>
  </r>
  <r>
    <n v="16154"/>
    <x v="0"/>
    <x v="0"/>
    <n v="70000"/>
    <n v="5"/>
    <x v="0"/>
    <s v="Professional"/>
    <s v="Yes"/>
    <n v="2"/>
    <x v="1"/>
    <x v="2"/>
    <n v="47"/>
    <x v="2"/>
    <x v="0"/>
  </r>
  <r>
    <n v="22219"/>
    <x v="0"/>
    <x v="0"/>
    <n v="60000"/>
    <n v="2"/>
    <x v="2"/>
    <s v="Professional"/>
    <s v="Yes"/>
    <n v="2"/>
    <x v="2"/>
    <x v="2"/>
    <n v="49"/>
    <x v="1"/>
    <x v="0"/>
  </r>
  <r>
    <n v="17269"/>
    <x v="1"/>
    <x v="1"/>
    <n v="60000"/>
    <n v="3"/>
    <x v="0"/>
    <s v="Professional"/>
    <s v="No"/>
    <n v="0"/>
    <x v="0"/>
    <x v="2"/>
    <n v="47"/>
    <x v="2"/>
    <x v="1"/>
  </r>
  <r>
    <n v="23586"/>
    <x v="0"/>
    <x v="0"/>
    <n v="80000"/>
    <n v="0"/>
    <x v="0"/>
    <s v="Management"/>
    <s v="Yes"/>
    <n v="1"/>
    <x v="3"/>
    <x v="2"/>
    <n v="34"/>
    <x v="2"/>
    <x v="1"/>
  </r>
  <r>
    <n v="15740"/>
    <x v="0"/>
    <x v="1"/>
    <n v="80000"/>
    <n v="5"/>
    <x v="0"/>
    <s v="Management"/>
    <s v="Yes"/>
    <n v="2"/>
    <x v="3"/>
    <x v="2"/>
    <n v="64"/>
    <x v="0"/>
    <x v="0"/>
  </r>
  <r>
    <n v="27638"/>
    <x v="1"/>
    <x v="1"/>
    <n v="100000"/>
    <n v="1"/>
    <x v="1"/>
    <s v="Professional"/>
    <s v="No"/>
    <n v="3"/>
    <x v="3"/>
    <x v="2"/>
    <n v="44"/>
    <x v="1"/>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0"/>
    <x v="0"/>
  </r>
  <r>
    <n v="16791"/>
    <x v="1"/>
    <x v="1"/>
    <n v="60000"/>
    <n v="5"/>
    <x v="0"/>
    <s v="Management"/>
    <s v="Yes"/>
    <n v="3"/>
    <x v="4"/>
    <x v="2"/>
    <n v="59"/>
    <x v="0"/>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0"/>
    <x v="0"/>
  </r>
  <r>
    <n v="13233"/>
    <x v="0"/>
    <x v="1"/>
    <n v="60000"/>
    <n v="2"/>
    <x v="1"/>
    <s v="Professional"/>
    <s v="Yes"/>
    <n v="1"/>
    <x v="4"/>
    <x v="2"/>
    <n v="57"/>
    <x v="2"/>
    <x v="1"/>
  </r>
  <r>
    <n v="25909"/>
    <x v="0"/>
    <x v="1"/>
    <n v="60000"/>
    <n v="0"/>
    <x v="1"/>
    <s v="Skilled Manual"/>
    <s v="Yes"/>
    <n v="1"/>
    <x v="2"/>
    <x v="2"/>
    <n v="27"/>
    <x v="0"/>
    <x v="1"/>
  </r>
  <r>
    <n v="14092"/>
    <x v="1"/>
    <x v="1"/>
    <n v="30000"/>
    <n v="0"/>
    <x v="3"/>
    <s v="Clerical"/>
    <s v="Yes"/>
    <n v="2"/>
    <x v="2"/>
    <x v="2"/>
    <n v="28"/>
    <x v="0"/>
    <x v="0"/>
  </r>
  <r>
    <n v="29143"/>
    <x v="1"/>
    <x v="0"/>
    <n v="60000"/>
    <n v="1"/>
    <x v="0"/>
    <s v="Professional"/>
    <s v="No"/>
    <n v="1"/>
    <x v="0"/>
    <x v="2"/>
    <n v="44"/>
    <x v="2"/>
    <x v="1"/>
  </r>
  <r>
    <n v="24941"/>
    <x v="0"/>
    <x v="1"/>
    <n v="60000"/>
    <n v="3"/>
    <x v="0"/>
    <s v="Management"/>
    <s v="Yes"/>
    <n v="2"/>
    <x v="4"/>
    <x v="2"/>
    <n v="66"/>
    <x v="0"/>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1"/>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0"/>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0"/>
    <x v="0"/>
  </r>
  <r>
    <n v="15529"/>
    <x v="0"/>
    <x v="1"/>
    <n v="60000"/>
    <n v="4"/>
    <x v="0"/>
    <s v="Professional"/>
    <s v="Yes"/>
    <n v="2"/>
    <x v="1"/>
    <x v="2"/>
    <n v="43"/>
    <x v="1"/>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2"/>
    <x v="1"/>
  </r>
  <r>
    <n v="27393"/>
    <x v="0"/>
    <x v="0"/>
    <n v="50000"/>
    <n v="4"/>
    <x v="0"/>
    <s v="Management"/>
    <s v="Yes"/>
    <n v="2"/>
    <x v="4"/>
    <x v="2"/>
    <n v="63"/>
    <x v="2"/>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1"/>
    <x v="0"/>
  </r>
  <r>
    <n v="24725"/>
    <x v="0"/>
    <x v="0"/>
    <n v="40000"/>
    <n v="3"/>
    <x v="1"/>
    <s v="Clerical"/>
    <s v="Yes"/>
    <n v="0"/>
    <x v="3"/>
    <x v="2"/>
    <n v="31"/>
    <x v="0"/>
    <x v="0"/>
  </r>
  <r>
    <n v="23200"/>
    <x v="0"/>
    <x v="0"/>
    <n v="50000"/>
    <n v="3"/>
    <x v="0"/>
    <s v="Skilled Manual"/>
    <s v="Yes"/>
    <n v="2"/>
    <x v="0"/>
    <x v="2"/>
    <n v="41"/>
    <x v="1"/>
    <x v="0"/>
  </r>
  <r>
    <n v="15895"/>
    <x v="1"/>
    <x v="0"/>
    <n v="60000"/>
    <n v="2"/>
    <x v="0"/>
    <s v="Management"/>
    <s v="Yes"/>
    <n v="0"/>
    <x v="4"/>
    <x v="2"/>
    <n v="58"/>
    <x v="2"/>
    <x v="0"/>
  </r>
  <r>
    <n v="18577"/>
    <x v="0"/>
    <x v="0"/>
    <n v="60000"/>
    <n v="0"/>
    <x v="4"/>
    <s v="Professional"/>
    <s v="Yes"/>
    <n v="0"/>
    <x v="0"/>
    <x v="2"/>
    <n v="40"/>
    <x v="1"/>
    <x v="0"/>
  </r>
  <r>
    <n v="27218"/>
    <x v="0"/>
    <x v="0"/>
    <n v="20000"/>
    <n v="2"/>
    <x v="3"/>
    <s v="Clerical"/>
    <s v="No"/>
    <n v="0"/>
    <x v="0"/>
    <x v="2"/>
    <n v="48"/>
    <x v="0"/>
    <x v="0"/>
  </r>
  <r>
    <n v="18560"/>
    <x v="0"/>
    <x v="0"/>
    <n v="70000"/>
    <n v="2"/>
    <x v="4"/>
    <s v="Professional"/>
    <s v="Yes"/>
    <n v="0"/>
    <x v="1"/>
    <x v="2"/>
    <n v="34"/>
    <x v="1"/>
    <x v="1"/>
  </r>
  <r>
    <n v="25006"/>
    <x v="1"/>
    <x v="0"/>
    <n v="30000"/>
    <n v="0"/>
    <x v="1"/>
    <s v="Skilled Manual"/>
    <s v="Yes"/>
    <n v="1"/>
    <x v="2"/>
    <x v="2"/>
    <n v="28"/>
    <x v="0"/>
    <x v="0"/>
  </r>
  <r>
    <n v="17369"/>
    <x v="1"/>
    <x v="1"/>
    <n v="30000"/>
    <n v="0"/>
    <x v="1"/>
    <s v="Skilled Manual"/>
    <s v="Yes"/>
    <n v="1"/>
    <x v="2"/>
    <x v="2"/>
    <n v="27"/>
    <x v="0"/>
    <x v="0"/>
  </r>
  <r>
    <n v="14495"/>
    <x v="0"/>
    <x v="1"/>
    <n v="40000"/>
    <n v="3"/>
    <x v="1"/>
    <s v="Professional"/>
    <s v="No"/>
    <n v="2"/>
    <x v="2"/>
    <x v="2"/>
    <n v="54"/>
    <x v="1"/>
    <x v="1"/>
  </r>
  <r>
    <n v="18847"/>
    <x v="0"/>
    <x v="0"/>
    <n v="60000"/>
    <n v="2"/>
    <x v="4"/>
    <s v="Management"/>
    <s v="Yes"/>
    <n v="2"/>
    <x v="2"/>
    <x v="2"/>
    <n v="70"/>
    <x v="0"/>
    <x v="0"/>
  </r>
  <r>
    <n v="14754"/>
    <x v="0"/>
    <x v="1"/>
    <n v="40000"/>
    <n v="1"/>
    <x v="1"/>
    <s v="Clerical"/>
    <s v="Yes"/>
    <n v="1"/>
    <x v="3"/>
    <x v="2"/>
    <n v="48"/>
    <x v="1"/>
    <x v="1"/>
  </r>
  <r>
    <n v="23378"/>
    <x v="0"/>
    <x v="1"/>
    <n v="70000"/>
    <n v="1"/>
    <x v="1"/>
    <s v="Skilled Manual"/>
    <s v="Yes"/>
    <n v="1"/>
    <x v="1"/>
    <x v="2"/>
    <n v="44"/>
    <x v="2"/>
    <x v="1"/>
  </r>
  <r>
    <n v="26452"/>
    <x v="1"/>
    <x v="1"/>
    <n v="50000"/>
    <n v="3"/>
    <x v="4"/>
    <s v="Management"/>
    <s v="Yes"/>
    <n v="2"/>
    <x v="4"/>
    <x v="2"/>
    <n v="69"/>
    <x v="0"/>
    <x v="0"/>
  </r>
  <r>
    <n v="20370"/>
    <x v="0"/>
    <x v="1"/>
    <n v="70000"/>
    <n v="3"/>
    <x v="3"/>
    <s v="Skilled Manual"/>
    <s v="Yes"/>
    <n v="2"/>
    <x v="2"/>
    <x v="2"/>
    <n v="52"/>
    <x v="1"/>
    <x v="0"/>
  </r>
  <r>
    <n v="20528"/>
    <x v="0"/>
    <x v="1"/>
    <n v="40000"/>
    <n v="2"/>
    <x v="3"/>
    <s v="Skilled Manual"/>
    <s v="Yes"/>
    <n v="2"/>
    <x v="1"/>
    <x v="2"/>
    <n v="55"/>
    <x v="0"/>
    <x v="0"/>
  </r>
  <r>
    <n v="23549"/>
    <x v="1"/>
    <x v="1"/>
    <n v="30000"/>
    <n v="0"/>
    <x v="2"/>
    <s v="Skilled Manual"/>
    <s v="Yes"/>
    <n v="2"/>
    <x v="2"/>
    <x v="2"/>
    <n v="30"/>
    <x v="0"/>
    <x v="0"/>
  </r>
  <r>
    <n v="21751"/>
    <x v="0"/>
    <x v="1"/>
    <n v="60000"/>
    <n v="3"/>
    <x v="4"/>
    <s v="Management"/>
    <s v="Yes"/>
    <n v="2"/>
    <x v="3"/>
    <x v="2"/>
    <n v="63"/>
    <x v="0"/>
    <x v="0"/>
  </r>
  <r>
    <n v="21266"/>
    <x v="1"/>
    <x v="0"/>
    <n v="80000"/>
    <n v="0"/>
    <x v="0"/>
    <s v="Management"/>
    <s v="Yes"/>
    <n v="1"/>
    <x v="3"/>
    <x v="2"/>
    <n v="34"/>
    <x v="0"/>
    <x v="1"/>
  </r>
  <r>
    <n v="13388"/>
    <x v="1"/>
    <x v="1"/>
    <n v="60000"/>
    <n v="2"/>
    <x v="1"/>
    <s v="Professional"/>
    <s v="Yes"/>
    <n v="1"/>
    <x v="4"/>
    <x v="2"/>
    <n v="56"/>
    <x v="0"/>
    <x v="0"/>
  </r>
  <r>
    <n v="18752"/>
    <x v="1"/>
    <x v="0"/>
    <n v="40000"/>
    <n v="0"/>
    <x v="2"/>
    <s v="Skilled Manual"/>
    <s v="Yes"/>
    <n v="1"/>
    <x v="2"/>
    <x v="2"/>
    <n v="31"/>
    <x v="1"/>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0"/>
    <x v="0"/>
  </r>
  <r>
    <n v="23089"/>
    <x v="0"/>
    <x v="1"/>
    <n v="40000"/>
    <n v="0"/>
    <x v="1"/>
    <s v="Skilled Manual"/>
    <s v="Yes"/>
    <n v="1"/>
    <x v="2"/>
    <x v="2"/>
    <n v="28"/>
    <x v="1"/>
    <x v="0"/>
  </r>
  <r>
    <n v="13749"/>
    <x v="0"/>
    <x v="1"/>
    <n v="80000"/>
    <n v="4"/>
    <x v="4"/>
    <s v="Skilled Manual"/>
    <s v="Yes"/>
    <n v="0"/>
    <x v="3"/>
    <x v="2"/>
    <n v="47"/>
    <x v="1"/>
    <x v="0"/>
  </r>
  <r>
    <n v="24943"/>
    <x v="0"/>
    <x v="1"/>
    <n v="60000"/>
    <n v="3"/>
    <x v="0"/>
    <s v="Management"/>
    <s v="Yes"/>
    <n v="2"/>
    <x v="4"/>
    <x v="2"/>
    <n v="66"/>
    <x v="0"/>
    <x v="0"/>
  </r>
  <r>
    <n v="28667"/>
    <x v="1"/>
    <x v="1"/>
    <n v="70000"/>
    <n v="2"/>
    <x v="0"/>
    <s v="Skilled Manual"/>
    <s v="No"/>
    <n v="1"/>
    <x v="0"/>
    <x v="2"/>
    <n v="37"/>
    <x v="1"/>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0"/>
    <x v="0"/>
  </r>
  <r>
    <n v="23158"/>
    <x v="0"/>
    <x v="0"/>
    <n v="60000"/>
    <n v="1"/>
    <x v="4"/>
    <s v="Professional"/>
    <s v="No"/>
    <n v="0"/>
    <x v="0"/>
    <x v="2"/>
    <n v="35"/>
    <x v="0"/>
    <x v="1"/>
  </r>
  <r>
    <n v="18545"/>
    <x v="0"/>
    <x v="1"/>
    <n v="40000"/>
    <n v="4"/>
    <x v="2"/>
    <s v="Professional"/>
    <s v="No"/>
    <n v="2"/>
    <x v="4"/>
    <x v="2"/>
    <n v="61"/>
    <x v="2"/>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0"/>
    <x v="0"/>
  </r>
  <r>
    <n v="18058"/>
    <x v="1"/>
    <x v="0"/>
    <n v="20000"/>
    <n v="3"/>
    <x v="2"/>
    <s v="Skilled Manual"/>
    <s v="Yes"/>
    <n v="2"/>
    <x v="1"/>
    <x v="2"/>
    <n v="78"/>
    <x v="0"/>
    <x v="0"/>
  </r>
  <r>
    <n v="20343"/>
    <x v="0"/>
    <x v="0"/>
    <n v="90000"/>
    <n v="4"/>
    <x v="1"/>
    <s v="Professional"/>
    <s v="Yes"/>
    <n v="1"/>
    <x v="3"/>
    <x v="2"/>
    <n v="45"/>
    <x v="0"/>
    <x v="0"/>
  </r>
  <r>
    <n v="28997"/>
    <x v="1"/>
    <x v="1"/>
    <n v="40000"/>
    <n v="2"/>
    <x v="2"/>
    <s v="Professional"/>
    <s v="No"/>
    <n v="1"/>
    <x v="1"/>
    <x v="2"/>
    <n v="58"/>
    <x v="0"/>
    <x v="1"/>
  </r>
  <r>
    <n v="24398"/>
    <x v="0"/>
    <x v="1"/>
    <n v="130000"/>
    <n v="1"/>
    <x v="4"/>
    <s v="Management"/>
    <s v="Yes"/>
    <n v="4"/>
    <x v="0"/>
    <x v="2"/>
    <n v="41"/>
    <x v="0"/>
    <x v="0"/>
  </r>
  <r>
    <n v="19002"/>
    <x v="0"/>
    <x v="0"/>
    <n v="60000"/>
    <n v="2"/>
    <x v="1"/>
    <s v="Professional"/>
    <s v="Yes"/>
    <n v="1"/>
    <x v="1"/>
    <x v="2"/>
    <n v="57"/>
    <x v="2"/>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0"/>
    <x v="0"/>
  </r>
  <r>
    <n v="17458"/>
    <x v="1"/>
    <x v="1"/>
    <n v="70000"/>
    <n v="3"/>
    <x v="2"/>
    <s v="Professional"/>
    <s v="Yes"/>
    <n v="0"/>
    <x v="2"/>
    <x v="2"/>
    <n v="52"/>
    <x v="0"/>
    <x v="1"/>
  </r>
  <r>
    <n v="11644"/>
    <x v="1"/>
    <x v="1"/>
    <n v="40000"/>
    <n v="2"/>
    <x v="0"/>
    <s v="Skilled Manual"/>
    <s v="Yes"/>
    <n v="0"/>
    <x v="1"/>
    <x v="2"/>
    <n v="36"/>
    <x v="2"/>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1"/>
    <x v="0"/>
  </r>
  <r>
    <n v="22994"/>
    <x v="0"/>
    <x v="0"/>
    <n v="80000"/>
    <n v="0"/>
    <x v="0"/>
    <s v="Management"/>
    <s v="Yes"/>
    <n v="1"/>
    <x v="3"/>
    <x v="2"/>
    <n v="34"/>
    <x v="2"/>
    <x v="1"/>
  </r>
  <r>
    <n v="22983"/>
    <x v="1"/>
    <x v="0"/>
    <n v="30000"/>
    <n v="0"/>
    <x v="3"/>
    <s v="Clerical"/>
    <s v="Yes"/>
    <n v="2"/>
    <x v="2"/>
    <x v="2"/>
    <n v="27"/>
    <x v="1"/>
    <x v="0"/>
  </r>
  <r>
    <n v="25184"/>
    <x v="1"/>
    <x v="1"/>
    <n v="110000"/>
    <n v="1"/>
    <x v="1"/>
    <s v="Professional"/>
    <s v="Yes"/>
    <n v="4"/>
    <x v="2"/>
    <x v="2"/>
    <n v="45"/>
    <x v="2"/>
    <x v="1"/>
  </r>
  <r>
    <n v="14469"/>
    <x v="0"/>
    <x v="0"/>
    <n v="100000"/>
    <n v="3"/>
    <x v="1"/>
    <s v="Professional"/>
    <s v="Yes"/>
    <n v="4"/>
    <x v="3"/>
    <x v="2"/>
    <n v="45"/>
    <x v="1"/>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2"/>
    <x v="1"/>
  </r>
  <r>
    <n v="25347"/>
    <x v="1"/>
    <x v="0"/>
    <n v="20000"/>
    <n v="3"/>
    <x v="3"/>
    <s v="Clerical"/>
    <s v="No"/>
    <n v="2"/>
    <x v="0"/>
    <x v="2"/>
    <n v="49"/>
    <x v="0"/>
    <x v="0"/>
  </r>
  <r>
    <n v="15814"/>
    <x v="1"/>
    <x v="0"/>
    <n v="40000"/>
    <n v="0"/>
    <x v="2"/>
    <s v="Skilled Manual"/>
    <s v="Yes"/>
    <n v="1"/>
    <x v="2"/>
    <x v="2"/>
    <n v="30"/>
    <x v="0"/>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1"/>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0"/>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0"/>
    <x v="0"/>
  </r>
  <r>
    <n v="24745"/>
    <x v="1"/>
    <x v="0"/>
    <n v="30000"/>
    <n v="2"/>
    <x v="2"/>
    <s v="Skilled Manual"/>
    <s v="No"/>
    <n v="2"/>
    <x v="0"/>
    <x v="2"/>
    <n v="49"/>
    <x v="1"/>
    <x v="0"/>
  </r>
  <r>
    <n v="29237"/>
    <x v="1"/>
    <x v="0"/>
    <n v="120000"/>
    <n v="4"/>
    <x v="1"/>
    <s v="Professional"/>
    <s v="Yes"/>
    <n v="3"/>
    <x v="2"/>
    <x v="2"/>
    <n v="43"/>
    <x v="0"/>
    <x v="1"/>
  </r>
  <r>
    <n v="15272"/>
    <x v="1"/>
    <x v="1"/>
    <n v="40000"/>
    <n v="0"/>
    <x v="2"/>
    <s v="Skilled Manual"/>
    <s v="No"/>
    <n v="2"/>
    <x v="3"/>
    <x v="2"/>
    <n v="30"/>
    <x v="1"/>
    <x v="0"/>
  </r>
  <r>
    <n v="18949"/>
    <x v="1"/>
    <x v="1"/>
    <n v="70000"/>
    <n v="0"/>
    <x v="4"/>
    <s v="Management"/>
    <s v="Yes"/>
    <n v="2"/>
    <x v="2"/>
    <x v="2"/>
    <n v="74"/>
    <x v="0"/>
    <x v="1"/>
  </r>
  <r>
    <n v="14507"/>
    <x v="0"/>
    <x v="1"/>
    <n v="100000"/>
    <n v="2"/>
    <x v="4"/>
    <s v="Management"/>
    <s v="Yes"/>
    <n v="3"/>
    <x v="3"/>
    <x v="2"/>
    <n v="65"/>
    <x v="0"/>
    <x v="0"/>
  </r>
  <r>
    <n v="25886"/>
    <x v="0"/>
    <x v="0"/>
    <n v="60000"/>
    <n v="2"/>
    <x v="1"/>
    <s v="Professional"/>
    <s v="Yes"/>
    <n v="2"/>
    <x v="1"/>
    <x v="2"/>
    <n v="56"/>
    <x v="0"/>
    <x v="1"/>
  </r>
  <r>
    <n v="21441"/>
    <x v="0"/>
    <x v="1"/>
    <n v="50000"/>
    <n v="4"/>
    <x v="0"/>
    <s v="Management"/>
    <s v="Yes"/>
    <n v="2"/>
    <x v="4"/>
    <x v="2"/>
    <n v="64"/>
    <x v="0"/>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1"/>
    <x v="0"/>
  </r>
  <r>
    <n v="22010"/>
    <x v="1"/>
    <x v="1"/>
    <n v="40000"/>
    <n v="0"/>
    <x v="2"/>
    <s v="Skilled Manual"/>
    <s v="Yes"/>
    <n v="2"/>
    <x v="2"/>
    <x v="2"/>
    <n v="31"/>
    <x v="0"/>
    <x v="0"/>
  </r>
  <r>
    <n v="25872"/>
    <x v="1"/>
    <x v="0"/>
    <n v="70000"/>
    <n v="2"/>
    <x v="0"/>
    <s v="Management"/>
    <s v="No"/>
    <n v="1"/>
    <x v="1"/>
    <x v="2"/>
    <n v="58"/>
    <x v="2"/>
    <x v="1"/>
  </r>
  <r>
    <n v="19164"/>
    <x v="1"/>
    <x v="0"/>
    <n v="70000"/>
    <n v="0"/>
    <x v="0"/>
    <s v="Professional"/>
    <s v="No"/>
    <n v="1"/>
    <x v="1"/>
    <x v="2"/>
    <n v="38"/>
    <x v="0"/>
    <x v="1"/>
  </r>
  <r>
    <n v="18435"/>
    <x v="1"/>
    <x v="0"/>
    <n v="70000"/>
    <n v="5"/>
    <x v="4"/>
    <s v="Management"/>
    <s v="Yes"/>
    <n v="2"/>
    <x v="4"/>
    <x v="2"/>
    <n v="67"/>
    <x v="0"/>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1"/>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1"/>
    <x v="0"/>
  </r>
  <r>
    <n v="19133"/>
    <x v="1"/>
    <x v="1"/>
    <n v="50000"/>
    <n v="2"/>
    <x v="0"/>
    <s v="Skilled Manual"/>
    <s v="Yes"/>
    <n v="1"/>
    <x v="1"/>
    <x v="2"/>
    <n v="38"/>
    <x v="0"/>
    <x v="1"/>
  </r>
  <r>
    <n v="24643"/>
    <x v="1"/>
    <x v="0"/>
    <n v="60000"/>
    <n v="4"/>
    <x v="0"/>
    <s v="Management"/>
    <s v="Yes"/>
    <n v="2"/>
    <x v="4"/>
    <x v="2"/>
    <n v="63"/>
    <x v="2"/>
    <x v="0"/>
  </r>
  <r>
    <n v="21599"/>
    <x v="0"/>
    <x v="0"/>
    <n v="60000"/>
    <n v="1"/>
    <x v="4"/>
    <s v="Professional"/>
    <s v="Yes"/>
    <n v="0"/>
    <x v="1"/>
    <x v="2"/>
    <n v="36"/>
    <x v="0"/>
    <x v="1"/>
  </r>
  <r>
    <n v="22976"/>
    <x v="1"/>
    <x v="1"/>
    <n v="40000"/>
    <n v="0"/>
    <x v="2"/>
    <s v="Skilled Manual"/>
    <s v="No"/>
    <n v="2"/>
    <x v="0"/>
    <x v="2"/>
    <n v="28"/>
    <x v="0"/>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1"/>
    <x v="0"/>
  </r>
  <r>
    <n v="17864"/>
    <x v="0"/>
    <x v="0"/>
    <n v="60000"/>
    <n v="1"/>
    <x v="1"/>
    <s v="Skilled Manual"/>
    <s v="Yes"/>
    <n v="1"/>
    <x v="1"/>
    <x v="2"/>
    <n v="46"/>
    <x v="1"/>
    <x v="1"/>
  </r>
  <r>
    <n v="20505"/>
    <x v="0"/>
    <x v="0"/>
    <n v="40000"/>
    <n v="5"/>
    <x v="2"/>
    <s v="Professional"/>
    <s v="No"/>
    <n v="2"/>
    <x v="4"/>
    <x v="2"/>
    <n v="61"/>
    <x v="0"/>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0"/>
  </r>
  <r>
    <n v="22252"/>
    <x v="1"/>
    <x v="0"/>
    <n v="60000"/>
    <n v="1"/>
    <x v="4"/>
    <s v="Professional"/>
    <s v="Yes"/>
    <n v="0"/>
    <x v="1"/>
    <x v="2"/>
    <n v="36"/>
    <x v="0"/>
    <x v="1"/>
  </r>
  <r>
    <n v="21260"/>
    <x v="1"/>
    <x v="0"/>
    <n v="40000"/>
    <n v="0"/>
    <x v="2"/>
    <s v="Skilled Manual"/>
    <s v="Yes"/>
    <n v="2"/>
    <x v="2"/>
    <x v="2"/>
    <n v="30"/>
    <x v="0"/>
    <x v="0"/>
  </r>
  <r>
    <n v="11817"/>
    <x v="1"/>
    <x v="0"/>
    <n v="70000"/>
    <n v="4"/>
    <x v="4"/>
    <s v="Professional"/>
    <s v="Yes"/>
    <n v="0"/>
    <x v="1"/>
    <x v="2"/>
    <n v="35"/>
    <x v="0"/>
    <x v="1"/>
  </r>
  <r>
    <n v="19223"/>
    <x v="0"/>
    <x v="0"/>
    <n v="30000"/>
    <n v="2"/>
    <x v="2"/>
    <s v="Skilled Manual"/>
    <s v="Yes"/>
    <n v="2"/>
    <x v="3"/>
    <x v="2"/>
    <n v="48"/>
    <x v="2"/>
    <x v="0"/>
  </r>
  <r>
    <n v="18517"/>
    <x v="0"/>
    <x v="1"/>
    <n v="100000"/>
    <n v="3"/>
    <x v="0"/>
    <s v="Management"/>
    <s v="Yes"/>
    <n v="4"/>
    <x v="0"/>
    <x v="2"/>
    <n v="41"/>
    <x v="2"/>
    <x v="0"/>
  </r>
  <r>
    <n v="21717"/>
    <x v="0"/>
    <x v="1"/>
    <n v="40000"/>
    <n v="2"/>
    <x v="1"/>
    <s v="Clerical"/>
    <s v="Yes"/>
    <n v="1"/>
    <x v="0"/>
    <x v="2"/>
    <n v="47"/>
    <x v="2"/>
    <x v="0"/>
  </r>
  <r>
    <n v="13760"/>
    <x v="0"/>
    <x v="1"/>
    <n v="60000"/>
    <n v="4"/>
    <x v="4"/>
    <s v="Skilled Manual"/>
    <s v="No"/>
    <n v="0"/>
    <x v="0"/>
    <x v="2"/>
    <n v="47"/>
    <x v="0"/>
    <x v="0"/>
  </r>
  <r>
    <n v="18145"/>
    <x v="0"/>
    <x v="1"/>
    <n v="80000"/>
    <n v="5"/>
    <x v="0"/>
    <s v="Management"/>
    <s v="No"/>
    <n v="2"/>
    <x v="1"/>
    <x v="0"/>
    <n v="62"/>
    <x v="0"/>
    <x v="0"/>
  </r>
  <r>
    <n v="21770"/>
    <x v="0"/>
    <x v="1"/>
    <n v="60000"/>
    <n v="4"/>
    <x v="0"/>
    <s v="Management"/>
    <s v="Yes"/>
    <n v="2"/>
    <x v="4"/>
    <x v="2"/>
    <n v="60"/>
    <x v="0"/>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2"/>
    <x v="0"/>
  </r>
  <r>
    <n v="29133"/>
    <x v="1"/>
    <x v="0"/>
    <n v="60000"/>
    <n v="4"/>
    <x v="0"/>
    <s v="Skilled Manual"/>
    <s v="No"/>
    <n v="2"/>
    <x v="0"/>
    <x v="2"/>
    <n v="42"/>
    <x v="2"/>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1"/>
    <x v="0"/>
  </r>
  <r>
    <n v="11699"/>
    <x v="1"/>
    <x v="1"/>
    <n v="60000"/>
    <n v="0"/>
    <x v="0"/>
    <s v="Skilled Manual"/>
    <s v="No"/>
    <n v="2"/>
    <x v="0"/>
    <x v="2"/>
    <n v="30"/>
    <x v="2"/>
    <x v="0"/>
  </r>
  <r>
    <n v="16725"/>
    <x v="0"/>
    <x v="1"/>
    <n v="30000"/>
    <n v="0"/>
    <x v="2"/>
    <s v="Skilled Manual"/>
    <s v="Yes"/>
    <n v="2"/>
    <x v="2"/>
    <x v="2"/>
    <n v="26"/>
    <x v="0"/>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1"/>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1"/>
    <x v="0"/>
  </r>
  <r>
    <n v="29112"/>
    <x v="1"/>
    <x v="1"/>
    <n v="60000"/>
    <n v="0"/>
    <x v="1"/>
    <s v="Professional"/>
    <s v="No"/>
    <n v="2"/>
    <x v="3"/>
    <x v="2"/>
    <n v="30"/>
    <x v="1"/>
    <x v="0"/>
  </r>
  <r>
    <n v="14090"/>
    <x v="0"/>
    <x v="0"/>
    <n v="30000"/>
    <n v="0"/>
    <x v="3"/>
    <s v="Clerical"/>
    <s v="No"/>
    <n v="2"/>
    <x v="0"/>
    <x v="2"/>
    <n v="28"/>
    <x v="0"/>
    <x v="0"/>
  </r>
  <r>
    <n v="27040"/>
    <x v="0"/>
    <x v="1"/>
    <n v="20000"/>
    <n v="2"/>
    <x v="3"/>
    <s v="Clerical"/>
    <s v="Yes"/>
    <n v="2"/>
    <x v="3"/>
    <x v="2"/>
    <n v="49"/>
    <x v="1"/>
    <x v="0"/>
  </r>
  <r>
    <n v="23479"/>
    <x v="1"/>
    <x v="1"/>
    <n v="90000"/>
    <n v="0"/>
    <x v="1"/>
    <s v="Professional"/>
    <s v="No"/>
    <n v="2"/>
    <x v="0"/>
    <x v="2"/>
    <n v="43"/>
    <x v="1"/>
    <x v="1"/>
  </r>
  <r>
    <n v="16795"/>
    <x v="0"/>
    <x v="0"/>
    <n v="70000"/>
    <n v="4"/>
    <x v="0"/>
    <s v="Management"/>
    <s v="Yes"/>
    <n v="1"/>
    <x v="3"/>
    <x v="2"/>
    <n v="59"/>
    <x v="0"/>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0"/>
    <x v="0"/>
  </r>
  <r>
    <n v="20296"/>
    <x v="1"/>
    <x v="0"/>
    <n v="60000"/>
    <n v="0"/>
    <x v="1"/>
    <s v="Skilled Manual"/>
    <s v="No"/>
    <n v="1"/>
    <x v="3"/>
    <x v="2"/>
    <n v="33"/>
    <x v="0"/>
    <x v="1"/>
  </r>
  <r>
    <n v="17546"/>
    <x v="0"/>
    <x v="0"/>
    <n v="70000"/>
    <n v="1"/>
    <x v="1"/>
    <s v="Skilled Manual"/>
    <s v="Yes"/>
    <n v="1"/>
    <x v="0"/>
    <x v="2"/>
    <n v="44"/>
    <x v="1"/>
    <x v="1"/>
  </r>
  <r>
    <n v="18069"/>
    <x v="0"/>
    <x v="1"/>
    <n v="70000"/>
    <n v="5"/>
    <x v="0"/>
    <s v="Management"/>
    <s v="Yes"/>
    <n v="4"/>
    <x v="4"/>
    <x v="2"/>
    <n v="60"/>
    <x v="0"/>
    <x v="0"/>
  </r>
  <r>
    <n v="23712"/>
    <x v="1"/>
    <x v="0"/>
    <n v="70000"/>
    <n v="2"/>
    <x v="0"/>
    <s v="Management"/>
    <s v="Yes"/>
    <n v="1"/>
    <x v="4"/>
    <x v="2"/>
    <n v="59"/>
    <x v="0"/>
    <x v="0"/>
  </r>
  <r>
    <n v="23358"/>
    <x v="0"/>
    <x v="1"/>
    <n v="60000"/>
    <n v="0"/>
    <x v="2"/>
    <s v="Professional"/>
    <s v="Yes"/>
    <n v="2"/>
    <x v="2"/>
    <x v="2"/>
    <n v="32"/>
    <x v="0"/>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0"/>
    <x v="0"/>
  </r>
  <r>
    <n v="16020"/>
    <x v="0"/>
    <x v="1"/>
    <n v="40000"/>
    <n v="0"/>
    <x v="2"/>
    <s v="Skilled Manual"/>
    <s v="Yes"/>
    <n v="2"/>
    <x v="2"/>
    <x v="2"/>
    <n v="28"/>
    <x v="0"/>
    <x v="1"/>
  </r>
  <r>
    <n v="27090"/>
    <x v="0"/>
    <x v="0"/>
    <n v="60000"/>
    <n v="1"/>
    <x v="4"/>
    <s v="Professional"/>
    <s v="Yes"/>
    <n v="0"/>
    <x v="1"/>
    <x v="2"/>
    <n v="37"/>
    <x v="2"/>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0"/>
    <x v="1"/>
  </r>
  <r>
    <n v="13287"/>
    <x v="1"/>
    <x v="1"/>
    <n v="110000"/>
    <n v="4"/>
    <x v="0"/>
    <s v="Management"/>
    <s v="Yes"/>
    <n v="4"/>
    <x v="2"/>
    <x v="2"/>
    <n v="42"/>
    <x v="0"/>
    <x v="1"/>
  </r>
  <r>
    <n v="14493"/>
    <x v="1"/>
    <x v="0"/>
    <n v="70000"/>
    <n v="3"/>
    <x v="4"/>
    <s v="Management"/>
    <s v="No"/>
    <n v="2"/>
    <x v="3"/>
    <x v="2"/>
    <n v="53"/>
    <x v="2"/>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2"/>
    <x v="1"/>
  </r>
  <r>
    <n v="27731"/>
    <x v="0"/>
    <x v="1"/>
    <n v="40000"/>
    <n v="0"/>
    <x v="2"/>
    <s v="Skilled Manual"/>
    <s v="Yes"/>
    <n v="2"/>
    <x v="2"/>
    <x v="2"/>
    <n v="27"/>
    <x v="0"/>
    <x v="0"/>
  </r>
  <r>
    <n v="11886"/>
    <x v="0"/>
    <x v="0"/>
    <n v="60000"/>
    <n v="3"/>
    <x v="0"/>
    <s v="Professional"/>
    <s v="Yes"/>
    <n v="1"/>
    <x v="0"/>
    <x v="2"/>
    <n v="48"/>
    <x v="2"/>
    <x v="1"/>
  </r>
  <r>
    <n v="24324"/>
    <x v="1"/>
    <x v="0"/>
    <n v="60000"/>
    <n v="4"/>
    <x v="0"/>
    <s v="Skilled Manual"/>
    <s v="Yes"/>
    <n v="2"/>
    <x v="1"/>
    <x v="2"/>
    <n v="41"/>
    <x v="0"/>
    <x v="1"/>
  </r>
  <r>
    <n v="22220"/>
    <x v="0"/>
    <x v="1"/>
    <n v="60000"/>
    <n v="2"/>
    <x v="2"/>
    <s v="Professional"/>
    <s v="No"/>
    <n v="2"/>
    <x v="3"/>
    <x v="2"/>
    <n v="49"/>
    <x v="1"/>
    <x v="1"/>
  </r>
  <r>
    <n v="26625"/>
    <x v="1"/>
    <x v="0"/>
    <n v="60000"/>
    <n v="0"/>
    <x v="4"/>
    <s v="Professional"/>
    <s v="Yes"/>
    <n v="1"/>
    <x v="1"/>
    <x v="2"/>
    <n v="38"/>
    <x v="0"/>
    <x v="1"/>
  </r>
  <r>
    <n v="23027"/>
    <x v="1"/>
    <x v="1"/>
    <n v="130000"/>
    <n v="1"/>
    <x v="0"/>
    <s v="Management"/>
    <s v="No"/>
    <n v="4"/>
    <x v="0"/>
    <x v="2"/>
    <n v="44"/>
    <x v="1"/>
    <x v="0"/>
  </r>
  <r>
    <n v="16867"/>
    <x v="1"/>
    <x v="0"/>
    <n v="130000"/>
    <n v="1"/>
    <x v="0"/>
    <s v="Management"/>
    <s v="No"/>
    <n v="3"/>
    <x v="0"/>
    <x v="2"/>
    <n v="45"/>
    <x v="0"/>
    <x v="1"/>
  </r>
  <r>
    <n v="14514"/>
    <x v="1"/>
    <x v="0"/>
    <n v="30000"/>
    <n v="0"/>
    <x v="1"/>
    <s v="Skilled Manual"/>
    <s v="Yes"/>
    <n v="1"/>
    <x v="2"/>
    <x v="2"/>
    <n v="26"/>
    <x v="1"/>
    <x v="0"/>
  </r>
  <r>
    <n v="19634"/>
    <x v="0"/>
    <x v="1"/>
    <n v="40000"/>
    <n v="0"/>
    <x v="2"/>
    <s v="Skilled Manual"/>
    <s v="Yes"/>
    <n v="1"/>
    <x v="2"/>
    <x v="2"/>
    <n v="31"/>
    <x v="1"/>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1"/>
    <x v="1"/>
  </r>
  <r>
    <n v="14077"/>
    <x v="1"/>
    <x v="1"/>
    <n v="30000"/>
    <n v="0"/>
    <x v="2"/>
    <s v="Skilled Manual"/>
    <s v="Yes"/>
    <n v="2"/>
    <x v="2"/>
    <x v="2"/>
    <n v="30"/>
    <x v="0"/>
    <x v="0"/>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0"/>
    <x v="1"/>
  </r>
  <r>
    <n v="28043"/>
    <x v="0"/>
    <x v="0"/>
    <n v="60000"/>
    <n v="2"/>
    <x v="0"/>
    <s v="Management"/>
    <s v="Yes"/>
    <n v="0"/>
    <x v="4"/>
    <x v="2"/>
    <n v="56"/>
    <x v="0"/>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0"/>
    <x v="0"/>
  </r>
  <r>
    <n v="20758"/>
    <x v="0"/>
    <x v="1"/>
    <n v="30000"/>
    <n v="2"/>
    <x v="2"/>
    <s v="Skilled Manual"/>
    <s v="Yes"/>
    <n v="2"/>
    <x v="3"/>
    <x v="2"/>
    <n v="50"/>
    <x v="0"/>
    <x v="0"/>
  </r>
  <r>
    <n v="11801"/>
    <x v="0"/>
    <x v="1"/>
    <n v="60000"/>
    <n v="1"/>
    <x v="4"/>
    <s v="Professional"/>
    <s v="Yes"/>
    <n v="0"/>
    <x v="1"/>
    <x v="2"/>
    <n v="36"/>
    <x v="2"/>
    <x v="0"/>
  </r>
  <r>
    <n v="22211"/>
    <x v="0"/>
    <x v="1"/>
    <n v="60000"/>
    <n v="0"/>
    <x v="1"/>
    <s v="Professional"/>
    <s v="Yes"/>
    <n v="2"/>
    <x v="2"/>
    <x v="2"/>
    <n v="32"/>
    <x v="0"/>
    <x v="0"/>
  </r>
  <r>
    <n v="28087"/>
    <x v="1"/>
    <x v="0"/>
    <n v="40000"/>
    <n v="0"/>
    <x v="1"/>
    <s v="Skilled Manual"/>
    <s v="No"/>
    <n v="1"/>
    <x v="3"/>
    <x v="2"/>
    <n v="27"/>
    <x v="0"/>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0"/>
    <x v="0"/>
  </r>
  <r>
    <n v="20657"/>
    <x v="1"/>
    <x v="1"/>
    <n v="50000"/>
    <n v="2"/>
    <x v="0"/>
    <s v="Skilled Manual"/>
    <s v="Yes"/>
    <n v="0"/>
    <x v="1"/>
    <x v="2"/>
    <n v="37"/>
    <x v="0"/>
    <x v="1"/>
  </r>
  <r>
    <n v="12882"/>
    <x v="0"/>
    <x v="1"/>
    <n v="50000"/>
    <n v="1"/>
    <x v="4"/>
    <s v="Skilled Manual"/>
    <s v="Yes"/>
    <n v="0"/>
    <x v="0"/>
    <x v="2"/>
    <n v="33"/>
    <x v="1"/>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2"/>
    <x v="1"/>
  </r>
  <r>
    <n v="11783"/>
    <x v="0"/>
    <x v="0"/>
    <n v="60000"/>
    <n v="1"/>
    <x v="4"/>
    <s v="Skilled Manual"/>
    <s v="Yes"/>
    <n v="0"/>
    <x v="0"/>
    <x v="2"/>
    <n v="34"/>
    <x v="0"/>
    <x v="0"/>
  </r>
  <r>
    <n v="14602"/>
    <x v="0"/>
    <x v="0"/>
    <n v="80000"/>
    <n v="3"/>
    <x v="4"/>
    <s v="Professional"/>
    <s v="Yes"/>
    <n v="0"/>
    <x v="0"/>
    <x v="2"/>
    <n v="36"/>
    <x v="1"/>
    <x v="1"/>
  </r>
  <r>
    <n v="29030"/>
    <x v="0"/>
    <x v="1"/>
    <n v="70000"/>
    <n v="2"/>
    <x v="3"/>
    <s v="Skilled Manual"/>
    <s v="Yes"/>
    <n v="2"/>
    <x v="4"/>
    <x v="2"/>
    <n v="54"/>
    <x v="0"/>
    <x v="0"/>
  </r>
  <r>
    <n v="26490"/>
    <x v="1"/>
    <x v="1"/>
    <n v="70000"/>
    <n v="2"/>
    <x v="0"/>
    <s v="Management"/>
    <s v="No"/>
    <n v="1"/>
    <x v="1"/>
    <x v="2"/>
    <n v="59"/>
    <x v="0"/>
    <x v="1"/>
  </r>
  <r>
    <n v="13151"/>
    <x v="1"/>
    <x v="1"/>
    <n v="40000"/>
    <n v="0"/>
    <x v="2"/>
    <s v="Skilled Manual"/>
    <s v="Yes"/>
    <n v="2"/>
    <x v="2"/>
    <x v="2"/>
    <n v="27"/>
    <x v="0"/>
    <x v="0"/>
  </r>
  <r>
    <n v="17260"/>
    <x v="0"/>
    <x v="1"/>
    <n v="90000"/>
    <n v="5"/>
    <x v="1"/>
    <s v="Professional"/>
    <s v="Yes"/>
    <n v="3"/>
    <x v="0"/>
    <x v="2"/>
    <n v="41"/>
    <x v="2"/>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1"/>
    <x v="0"/>
  </r>
  <r>
    <n v="16112"/>
    <x v="1"/>
    <x v="1"/>
    <n v="70000"/>
    <n v="4"/>
    <x v="0"/>
    <s v="Professional"/>
    <s v="Yes"/>
    <n v="2"/>
    <x v="1"/>
    <x v="2"/>
    <n v="43"/>
    <x v="0"/>
    <x v="1"/>
  </r>
  <r>
    <n v="20698"/>
    <x v="0"/>
    <x v="1"/>
    <n v="60000"/>
    <n v="4"/>
    <x v="0"/>
    <s v="Skilled Manual"/>
    <s v="Yes"/>
    <n v="3"/>
    <x v="2"/>
    <x v="2"/>
    <n v="42"/>
    <x v="1"/>
    <x v="0"/>
  </r>
  <r>
    <n v="20076"/>
    <x v="1"/>
    <x v="0"/>
    <n v="10000"/>
    <n v="2"/>
    <x v="2"/>
    <s v="Manual"/>
    <s v="Yes"/>
    <n v="2"/>
    <x v="3"/>
    <x v="2"/>
    <n v="53"/>
    <x v="2"/>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0"/>
    <x v="1"/>
  </r>
  <r>
    <n v="26270"/>
    <x v="1"/>
    <x v="0"/>
    <n v="20000"/>
    <n v="2"/>
    <x v="3"/>
    <s v="Clerical"/>
    <s v="Yes"/>
    <n v="2"/>
    <x v="3"/>
    <x v="2"/>
    <n v="49"/>
    <x v="1"/>
    <x v="0"/>
  </r>
  <r>
    <n v="22221"/>
    <x v="0"/>
    <x v="1"/>
    <n v="60000"/>
    <n v="2"/>
    <x v="2"/>
    <s v="Professional"/>
    <s v="No"/>
    <n v="2"/>
    <x v="3"/>
    <x v="2"/>
    <n v="48"/>
    <x v="2"/>
    <x v="1"/>
  </r>
  <r>
    <n v="28228"/>
    <x v="1"/>
    <x v="0"/>
    <n v="80000"/>
    <n v="2"/>
    <x v="3"/>
    <s v="Skilled Manual"/>
    <s v="No"/>
    <n v="2"/>
    <x v="3"/>
    <x v="2"/>
    <n v="50"/>
    <x v="2"/>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0"/>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0"/>
    <x v="1"/>
  </r>
  <r>
    <n v="22971"/>
    <x v="1"/>
    <x v="0"/>
    <n v="30000"/>
    <n v="0"/>
    <x v="2"/>
    <s v="Skilled Manual"/>
    <s v="No"/>
    <n v="2"/>
    <x v="0"/>
    <x v="2"/>
    <n v="25"/>
    <x v="0"/>
    <x v="1"/>
  </r>
  <r>
    <n v="15287"/>
    <x v="1"/>
    <x v="0"/>
    <n v="50000"/>
    <n v="1"/>
    <x v="4"/>
    <s v="Skilled Manual"/>
    <s v="Yes"/>
    <n v="0"/>
    <x v="3"/>
    <x v="2"/>
    <n v="33"/>
    <x v="1"/>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0"/>
    <x v="1"/>
  </r>
  <r>
    <n v="13154"/>
    <x v="0"/>
    <x v="1"/>
    <n v="40000"/>
    <n v="0"/>
    <x v="2"/>
    <s v="Skilled Manual"/>
    <s v="No"/>
    <n v="2"/>
    <x v="0"/>
    <x v="2"/>
    <n v="27"/>
    <x v="0"/>
    <x v="1"/>
  </r>
  <r>
    <n v="26778"/>
    <x v="1"/>
    <x v="0"/>
    <n v="40000"/>
    <n v="0"/>
    <x v="2"/>
    <s v="Skilled Manual"/>
    <s v="Yes"/>
    <n v="2"/>
    <x v="2"/>
    <x v="2"/>
    <n v="31"/>
    <x v="2"/>
    <x v="0"/>
  </r>
  <r>
    <n v="23248"/>
    <x v="0"/>
    <x v="0"/>
    <n v="10000"/>
    <n v="2"/>
    <x v="2"/>
    <s v="Manual"/>
    <s v="Yes"/>
    <n v="2"/>
    <x v="3"/>
    <x v="2"/>
    <n v="53"/>
    <x v="2"/>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0"/>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0"/>
    <x v="0"/>
  </r>
  <r>
    <n v="25899"/>
    <x v="0"/>
    <x v="0"/>
    <n v="70000"/>
    <n v="2"/>
    <x v="2"/>
    <s v="Professional"/>
    <s v="Yes"/>
    <n v="2"/>
    <x v="4"/>
    <x v="2"/>
    <n v="53"/>
    <x v="0"/>
    <x v="0"/>
  </r>
  <r>
    <n v="13351"/>
    <x v="1"/>
    <x v="0"/>
    <n v="70000"/>
    <n v="4"/>
    <x v="0"/>
    <s v="Management"/>
    <s v="Yes"/>
    <n v="2"/>
    <x v="3"/>
    <x v="2"/>
    <n v="62"/>
    <x v="0"/>
    <x v="1"/>
  </r>
  <r>
    <n v="23333"/>
    <x v="0"/>
    <x v="1"/>
    <n v="40000"/>
    <n v="0"/>
    <x v="1"/>
    <s v="Skilled Manual"/>
    <s v="No"/>
    <n v="2"/>
    <x v="3"/>
    <x v="2"/>
    <n v="30"/>
    <x v="2"/>
    <x v="0"/>
  </r>
  <r>
    <n v="21660"/>
    <x v="0"/>
    <x v="0"/>
    <n v="60000"/>
    <n v="3"/>
    <x v="4"/>
    <s v="Professional"/>
    <s v="Yes"/>
    <n v="0"/>
    <x v="1"/>
    <x v="2"/>
    <n v="43"/>
    <x v="1"/>
    <x v="1"/>
  </r>
  <r>
    <n v="17012"/>
    <x v="0"/>
    <x v="0"/>
    <n v="60000"/>
    <n v="3"/>
    <x v="4"/>
    <s v="Professional"/>
    <s v="Yes"/>
    <n v="0"/>
    <x v="1"/>
    <x v="2"/>
    <n v="42"/>
    <x v="0"/>
    <x v="1"/>
  </r>
  <r>
    <n v="24514"/>
    <x v="0"/>
    <x v="1"/>
    <n v="40000"/>
    <n v="0"/>
    <x v="1"/>
    <s v="Skilled Manual"/>
    <s v="Yes"/>
    <n v="1"/>
    <x v="2"/>
    <x v="2"/>
    <n v="30"/>
    <x v="0"/>
    <x v="0"/>
  </r>
  <r>
    <n v="27505"/>
    <x v="1"/>
    <x v="0"/>
    <n v="40000"/>
    <n v="0"/>
    <x v="2"/>
    <s v="Skilled Manual"/>
    <s v="Yes"/>
    <n v="2"/>
    <x v="2"/>
    <x v="2"/>
    <n v="30"/>
    <x v="0"/>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2"/>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1"/>
    <x v="0"/>
  </r>
  <r>
    <n v="16009"/>
    <x v="1"/>
    <x v="1"/>
    <n v="170000"/>
    <n v="1"/>
    <x v="4"/>
    <s v="Management"/>
    <s v="No"/>
    <n v="4"/>
    <x v="0"/>
    <x v="2"/>
    <n v="66"/>
    <x v="0"/>
    <x v="0"/>
  </r>
  <r>
    <n v="18411"/>
    <x v="0"/>
    <x v="1"/>
    <n v="60000"/>
    <n v="2"/>
    <x v="2"/>
    <s v="Professional"/>
    <s v="No"/>
    <n v="2"/>
    <x v="2"/>
    <x v="2"/>
    <n v="51"/>
    <x v="0"/>
    <x v="0"/>
  </r>
  <r>
    <n v="19163"/>
    <x v="0"/>
    <x v="0"/>
    <n v="70000"/>
    <n v="4"/>
    <x v="0"/>
    <s v="Professional"/>
    <s v="Yes"/>
    <n v="2"/>
    <x v="0"/>
    <x v="2"/>
    <n v="43"/>
    <x v="1"/>
    <x v="1"/>
  </r>
  <r>
    <n v="18572"/>
    <x v="0"/>
    <x v="0"/>
    <n v="60000"/>
    <n v="0"/>
    <x v="4"/>
    <s v="Professional"/>
    <s v="Yes"/>
    <n v="0"/>
    <x v="0"/>
    <x v="2"/>
    <n v="39"/>
    <x v="0"/>
    <x v="0"/>
  </r>
  <r>
    <n v="27540"/>
    <x v="1"/>
    <x v="0"/>
    <n v="70000"/>
    <n v="0"/>
    <x v="0"/>
    <s v="Professional"/>
    <s v="No"/>
    <n v="1"/>
    <x v="0"/>
    <x v="2"/>
    <n v="37"/>
    <x v="1"/>
    <x v="1"/>
  </r>
  <r>
    <n v="19889"/>
    <x v="1"/>
    <x v="0"/>
    <n v="70000"/>
    <n v="2"/>
    <x v="3"/>
    <s v="Skilled Manual"/>
    <s v="No"/>
    <n v="2"/>
    <x v="1"/>
    <x v="2"/>
    <n v="54"/>
    <x v="2"/>
    <x v="1"/>
  </r>
  <r>
    <n v="12922"/>
    <x v="1"/>
    <x v="0"/>
    <n v="60000"/>
    <n v="3"/>
    <x v="0"/>
    <s v="Skilled Manual"/>
    <s v="Yes"/>
    <n v="0"/>
    <x v="1"/>
    <x v="2"/>
    <n v="40"/>
    <x v="0"/>
    <x v="1"/>
  </r>
  <r>
    <n v="18891"/>
    <x v="0"/>
    <x v="0"/>
    <n v="40000"/>
    <n v="0"/>
    <x v="1"/>
    <s v="Skilled Manual"/>
    <s v="Yes"/>
    <n v="2"/>
    <x v="2"/>
    <x v="2"/>
    <n v="28"/>
    <x v="1"/>
    <x v="0"/>
  </r>
  <r>
    <n v="16773"/>
    <x v="0"/>
    <x v="1"/>
    <n v="60000"/>
    <n v="1"/>
    <x v="4"/>
    <s v="Skilled Manual"/>
    <s v="Yes"/>
    <n v="0"/>
    <x v="0"/>
    <x v="2"/>
    <n v="33"/>
    <x v="1"/>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0"/>
    <x v="0"/>
  </r>
  <r>
    <n v="15555"/>
    <x v="0"/>
    <x v="0"/>
    <n v="60000"/>
    <n v="1"/>
    <x v="1"/>
    <s v="Skilled Manual"/>
    <s v="Yes"/>
    <n v="1"/>
    <x v="1"/>
    <x v="2"/>
    <n v="45"/>
    <x v="0"/>
    <x v="1"/>
  </r>
  <r>
    <n v="18423"/>
    <x v="1"/>
    <x v="1"/>
    <n v="80000"/>
    <n v="2"/>
    <x v="3"/>
    <s v="Skilled Manual"/>
    <s v="No"/>
    <n v="2"/>
    <x v="3"/>
    <x v="2"/>
    <n v="52"/>
    <x v="2"/>
    <x v="0"/>
  </r>
  <r>
    <n v="22743"/>
    <x v="0"/>
    <x v="0"/>
    <n v="40000"/>
    <n v="5"/>
    <x v="2"/>
    <s v="Professional"/>
    <s v="Yes"/>
    <n v="2"/>
    <x v="4"/>
    <x v="2"/>
    <n v="60"/>
    <x v="0"/>
    <x v="0"/>
  </r>
  <r>
    <n v="25343"/>
    <x v="1"/>
    <x v="0"/>
    <n v="20000"/>
    <n v="3"/>
    <x v="3"/>
    <s v="Clerical"/>
    <s v="Yes"/>
    <n v="2"/>
    <x v="3"/>
    <x v="2"/>
    <n v="50"/>
    <x v="0"/>
    <x v="0"/>
  </r>
  <r>
    <n v="13390"/>
    <x v="0"/>
    <x v="0"/>
    <n v="70000"/>
    <n v="4"/>
    <x v="1"/>
    <s v="Professional"/>
    <s v="No"/>
    <n v="1"/>
    <x v="3"/>
    <x v="2"/>
    <n v="56"/>
    <x v="0"/>
    <x v="0"/>
  </r>
  <r>
    <n v="17482"/>
    <x v="1"/>
    <x v="0"/>
    <n v="40000"/>
    <n v="0"/>
    <x v="3"/>
    <s v="Clerical"/>
    <s v="Yes"/>
    <n v="2"/>
    <x v="2"/>
    <x v="2"/>
    <n v="29"/>
    <x v="0"/>
    <x v="0"/>
  </r>
  <r>
    <n v="13176"/>
    <x v="1"/>
    <x v="1"/>
    <n v="130000"/>
    <n v="0"/>
    <x v="4"/>
    <s v="Management"/>
    <s v="No"/>
    <n v="2"/>
    <x v="0"/>
    <x v="2"/>
    <n v="38"/>
    <x v="0"/>
    <x v="1"/>
  </r>
  <r>
    <n v="20504"/>
    <x v="0"/>
    <x v="0"/>
    <n v="40000"/>
    <n v="5"/>
    <x v="2"/>
    <s v="Professional"/>
    <s v="No"/>
    <n v="2"/>
    <x v="1"/>
    <x v="2"/>
    <n v="60"/>
    <x v="0"/>
    <x v="0"/>
  </r>
  <r>
    <n v="12205"/>
    <x v="1"/>
    <x v="0"/>
    <n v="130000"/>
    <n v="2"/>
    <x v="0"/>
    <s v="Management"/>
    <s v="No"/>
    <n v="4"/>
    <x v="0"/>
    <x v="2"/>
    <n v="67"/>
    <x v="0"/>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1"/>
    <x v="1"/>
  </r>
  <r>
    <n v="17519"/>
    <x v="0"/>
    <x v="0"/>
    <n v="60000"/>
    <n v="0"/>
    <x v="1"/>
    <s v="Professional"/>
    <s v="Yes"/>
    <n v="2"/>
    <x v="2"/>
    <x v="2"/>
    <n v="32"/>
    <x v="0"/>
    <x v="0"/>
  </r>
  <r>
    <n v="18347"/>
    <x v="1"/>
    <x v="0"/>
    <n v="30000"/>
    <n v="0"/>
    <x v="1"/>
    <s v="Skilled Manual"/>
    <s v="No"/>
    <n v="1"/>
    <x v="3"/>
    <x v="2"/>
    <n v="31"/>
    <x v="1"/>
    <x v="0"/>
  </r>
  <r>
    <n v="29052"/>
    <x v="1"/>
    <x v="1"/>
    <n v="40000"/>
    <n v="0"/>
    <x v="1"/>
    <s v="Skilled Manual"/>
    <s v="Yes"/>
    <n v="1"/>
    <x v="2"/>
    <x v="2"/>
    <n v="27"/>
    <x v="0"/>
    <x v="0"/>
  </r>
  <r>
    <n v="11745"/>
    <x v="0"/>
    <x v="0"/>
    <n v="60000"/>
    <n v="1"/>
    <x v="0"/>
    <s v="Professional"/>
    <s v="Yes"/>
    <n v="1"/>
    <x v="0"/>
    <x v="2"/>
    <n v="47"/>
    <x v="0"/>
    <x v="1"/>
  </r>
  <r>
    <n v="19147"/>
    <x v="0"/>
    <x v="1"/>
    <n v="40000"/>
    <n v="0"/>
    <x v="0"/>
    <s v="Professional"/>
    <s v="No"/>
    <n v="1"/>
    <x v="0"/>
    <x v="2"/>
    <n v="42"/>
    <x v="1"/>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2"/>
    <x v="1"/>
  </r>
  <r>
    <n v="25041"/>
    <x v="1"/>
    <x v="1"/>
    <n v="40000"/>
    <n v="0"/>
    <x v="2"/>
    <s v="Skilled Manual"/>
    <s v="Yes"/>
    <n v="2"/>
    <x v="2"/>
    <x v="2"/>
    <n v="31"/>
    <x v="1"/>
    <x v="0"/>
  </r>
  <r>
    <n v="22046"/>
    <x v="1"/>
    <x v="0"/>
    <n v="80000"/>
    <n v="0"/>
    <x v="0"/>
    <s v="Management"/>
    <s v="No"/>
    <n v="1"/>
    <x v="0"/>
    <x v="2"/>
    <n v="38"/>
    <x v="1"/>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0"/>
    <x v="0"/>
  </r>
  <r>
    <n v="15879"/>
    <x v="0"/>
    <x v="1"/>
    <n v="70000"/>
    <n v="5"/>
    <x v="0"/>
    <s v="Management"/>
    <s v="Yes"/>
    <n v="2"/>
    <x v="1"/>
    <x v="2"/>
    <n v="61"/>
    <x v="0"/>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0"/>
    <x v="1"/>
  </r>
  <r>
    <n v="14872"/>
    <x v="0"/>
    <x v="1"/>
    <n v="30000"/>
    <n v="0"/>
    <x v="4"/>
    <s v="Skilled Manual"/>
    <s v="Yes"/>
    <n v="0"/>
    <x v="0"/>
    <x v="2"/>
    <n v="32"/>
    <x v="1"/>
    <x v="0"/>
  </r>
  <r>
    <n v="16151"/>
    <x v="0"/>
    <x v="0"/>
    <n v="60000"/>
    <n v="1"/>
    <x v="0"/>
    <s v="Professional"/>
    <s v="Yes"/>
    <n v="1"/>
    <x v="1"/>
    <x v="2"/>
    <n v="48"/>
    <x v="0"/>
    <x v="1"/>
  </r>
  <r>
    <n v="19731"/>
    <x v="0"/>
    <x v="1"/>
    <n v="80000"/>
    <n v="4"/>
    <x v="4"/>
    <s v="Management"/>
    <s v="Yes"/>
    <n v="2"/>
    <x v="2"/>
    <x v="2"/>
    <n v="68"/>
    <x v="2"/>
    <x v="0"/>
  </r>
  <r>
    <n v="23801"/>
    <x v="0"/>
    <x v="0"/>
    <n v="20000"/>
    <n v="2"/>
    <x v="3"/>
    <s v="Clerical"/>
    <s v="Yes"/>
    <n v="2"/>
    <x v="0"/>
    <x v="2"/>
    <n v="49"/>
    <x v="1"/>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1"/>
    <x v="0"/>
  </r>
  <r>
    <n v="13415"/>
    <x v="1"/>
    <x v="1"/>
    <n v="100000"/>
    <n v="1"/>
    <x v="4"/>
    <s v="Management"/>
    <s v="Yes"/>
    <n v="3"/>
    <x v="1"/>
    <x v="2"/>
    <n v="73"/>
    <x v="0"/>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1"/>
    <x v="1"/>
  </r>
  <r>
    <n v="20401"/>
    <x v="0"/>
    <x v="0"/>
    <n v="50000"/>
    <n v="4"/>
    <x v="0"/>
    <s v="Management"/>
    <s v="Yes"/>
    <n v="2"/>
    <x v="3"/>
    <x v="2"/>
    <n v="64"/>
    <x v="0"/>
    <x v="1"/>
  </r>
  <r>
    <n v="21583"/>
    <x v="0"/>
    <x v="0"/>
    <n v="50000"/>
    <n v="1"/>
    <x v="0"/>
    <s v="Skilled Manual"/>
    <s v="Yes"/>
    <n v="0"/>
    <x v="0"/>
    <x v="2"/>
    <n v="34"/>
    <x v="0"/>
    <x v="1"/>
  </r>
  <r>
    <n v="12029"/>
    <x v="0"/>
    <x v="1"/>
    <n v="30000"/>
    <n v="0"/>
    <x v="3"/>
    <s v="Clerical"/>
    <s v="No"/>
    <n v="2"/>
    <x v="0"/>
    <x v="2"/>
    <n v="28"/>
    <x v="0"/>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1"/>
    <x v="0"/>
  </r>
  <r>
    <n v="14432"/>
    <x v="1"/>
    <x v="1"/>
    <n v="90000"/>
    <n v="4"/>
    <x v="4"/>
    <s v="Management"/>
    <s v="Yes"/>
    <n v="1"/>
    <x v="2"/>
    <x v="2"/>
    <n v="73"/>
    <x v="0"/>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1"/>
    <x v="1"/>
  </r>
  <r>
    <n v="19747"/>
    <x v="0"/>
    <x v="1"/>
    <n v="50000"/>
    <n v="4"/>
    <x v="0"/>
    <s v="Management"/>
    <s v="Yes"/>
    <n v="2"/>
    <x v="4"/>
    <x v="2"/>
    <n v="63"/>
    <x v="0"/>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0"/>
    <x v="0"/>
  </r>
  <r>
    <n v="27190"/>
    <x v="0"/>
    <x v="0"/>
    <n v="40000"/>
    <n v="3"/>
    <x v="1"/>
    <s v="Clerical"/>
    <s v="Yes"/>
    <n v="1"/>
    <x v="3"/>
    <x v="2"/>
    <n v="32"/>
    <x v="0"/>
    <x v="0"/>
  </r>
  <r>
    <n v="28657"/>
    <x v="1"/>
    <x v="1"/>
    <n v="60000"/>
    <n v="2"/>
    <x v="0"/>
    <s v="Skilled Manual"/>
    <s v="Yes"/>
    <n v="0"/>
    <x v="1"/>
    <x v="2"/>
    <n v="36"/>
    <x v="1"/>
    <x v="1"/>
  </r>
  <r>
    <n v="21713"/>
    <x v="1"/>
    <x v="1"/>
    <n v="80000"/>
    <n v="5"/>
    <x v="4"/>
    <s v="Skilled Manual"/>
    <s v="No"/>
    <n v="0"/>
    <x v="0"/>
    <x v="2"/>
    <n v="47"/>
    <x v="0"/>
    <x v="0"/>
  </r>
  <r>
    <n v="21752"/>
    <x v="0"/>
    <x v="1"/>
    <n v="60000"/>
    <n v="3"/>
    <x v="4"/>
    <s v="Management"/>
    <s v="Yes"/>
    <n v="2"/>
    <x v="4"/>
    <x v="2"/>
    <n v="64"/>
    <x v="0"/>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2"/>
    <x v="0"/>
  </r>
  <r>
    <n v="20754"/>
    <x v="0"/>
    <x v="1"/>
    <n v="30000"/>
    <n v="2"/>
    <x v="2"/>
    <s v="Skilled Manual"/>
    <s v="Yes"/>
    <n v="2"/>
    <x v="3"/>
    <x v="2"/>
    <n v="51"/>
    <x v="2"/>
    <x v="0"/>
  </r>
  <r>
    <n v="12153"/>
    <x v="1"/>
    <x v="0"/>
    <n v="70000"/>
    <n v="3"/>
    <x v="1"/>
    <s v="Professional"/>
    <s v="Yes"/>
    <n v="1"/>
    <x v="2"/>
    <x v="2"/>
    <n v="49"/>
    <x v="1"/>
    <x v="1"/>
  </r>
  <r>
    <n v="16895"/>
    <x v="0"/>
    <x v="0"/>
    <n v="40000"/>
    <n v="3"/>
    <x v="1"/>
    <s v="Professional"/>
    <s v="No"/>
    <n v="2"/>
    <x v="3"/>
    <x v="2"/>
    <n v="54"/>
    <x v="0"/>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2"/>
    <x v="1"/>
  </r>
  <r>
    <n v="26495"/>
    <x v="1"/>
    <x v="0"/>
    <n v="40000"/>
    <n v="2"/>
    <x v="2"/>
    <s v="Professional"/>
    <s v="Yes"/>
    <n v="2"/>
    <x v="4"/>
    <x v="2"/>
    <n v="57"/>
    <x v="0"/>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0"/>
    <x v="1"/>
  </r>
  <r>
    <n v="11941"/>
    <x v="1"/>
    <x v="1"/>
    <n v="60000"/>
    <n v="0"/>
    <x v="1"/>
    <s v="Skilled Manual"/>
    <s v="Yes"/>
    <n v="0"/>
    <x v="2"/>
    <x v="2"/>
    <n v="29"/>
    <x v="1"/>
    <x v="0"/>
  </r>
  <r>
    <n v="14389"/>
    <x v="0"/>
    <x v="1"/>
    <n v="60000"/>
    <n v="2"/>
    <x v="0"/>
    <s v="Management"/>
    <s v="Yes"/>
    <n v="0"/>
    <x v="1"/>
    <x v="2"/>
    <n v="59"/>
    <x v="0"/>
    <x v="0"/>
  </r>
  <r>
    <n v="18050"/>
    <x v="0"/>
    <x v="0"/>
    <n v="60000"/>
    <n v="1"/>
    <x v="1"/>
    <s v="Skilled Manual"/>
    <s v="Yes"/>
    <n v="1"/>
    <x v="0"/>
    <x v="2"/>
    <n v="45"/>
    <x v="0"/>
    <x v="1"/>
  </r>
  <r>
    <n v="19856"/>
    <x v="0"/>
    <x v="0"/>
    <n v="60000"/>
    <n v="4"/>
    <x v="0"/>
    <s v="Management"/>
    <s v="Yes"/>
    <n v="2"/>
    <x v="1"/>
    <x v="2"/>
    <n v="60"/>
    <x v="0"/>
    <x v="0"/>
  </r>
  <r>
    <n v="11663"/>
    <x v="0"/>
    <x v="1"/>
    <n v="70000"/>
    <n v="4"/>
    <x v="4"/>
    <s v="Professional"/>
    <s v="Yes"/>
    <n v="0"/>
    <x v="0"/>
    <x v="2"/>
    <n v="36"/>
    <x v="0"/>
    <x v="1"/>
  </r>
  <r>
    <n v="27740"/>
    <x v="0"/>
    <x v="0"/>
    <n v="40000"/>
    <n v="0"/>
    <x v="2"/>
    <s v="Skilled Manual"/>
    <s v="Yes"/>
    <n v="2"/>
    <x v="2"/>
    <x v="2"/>
    <n v="27"/>
    <x v="0"/>
    <x v="0"/>
  </r>
  <r>
    <n v="23455"/>
    <x v="1"/>
    <x v="1"/>
    <n v="80000"/>
    <n v="2"/>
    <x v="3"/>
    <s v="Skilled Manual"/>
    <s v="No"/>
    <n v="2"/>
    <x v="3"/>
    <x v="2"/>
    <n v="50"/>
    <x v="1"/>
    <x v="0"/>
  </r>
  <r>
    <n v="15292"/>
    <x v="1"/>
    <x v="0"/>
    <n v="60000"/>
    <n v="1"/>
    <x v="4"/>
    <s v="Skilled Manual"/>
    <s v="Yes"/>
    <n v="0"/>
    <x v="3"/>
    <x v="2"/>
    <n v="35"/>
    <x v="2"/>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2"/>
    <x v="1"/>
  </r>
  <r>
    <n v="25419"/>
    <x v="1"/>
    <x v="1"/>
    <n v="50000"/>
    <n v="2"/>
    <x v="0"/>
    <s v="Skilled Manual"/>
    <s v="No"/>
    <n v="1"/>
    <x v="0"/>
    <x v="2"/>
    <n v="38"/>
    <x v="0"/>
    <x v="1"/>
  </r>
  <r>
    <n v="13343"/>
    <x v="0"/>
    <x v="0"/>
    <n v="90000"/>
    <n v="5"/>
    <x v="0"/>
    <s v="Management"/>
    <s v="Yes"/>
    <n v="2"/>
    <x v="3"/>
    <x v="2"/>
    <n v="63"/>
    <x v="0"/>
    <x v="1"/>
  </r>
  <r>
    <n v="11303"/>
    <x v="1"/>
    <x v="0"/>
    <n v="90000"/>
    <n v="4"/>
    <x v="2"/>
    <s v="Professional"/>
    <s v="No"/>
    <n v="3"/>
    <x v="3"/>
    <x v="2"/>
    <n v="45"/>
    <x v="0"/>
    <x v="1"/>
  </r>
  <r>
    <n v="21693"/>
    <x v="1"/>
    <x v="0"/>
    <n v="60000"/>
    <n v="0"/>
    <x v="4"/>
    <s v="Skilled Manual"/>
    <s v="No"/>
    <n v="0"/>
    <x v="0"/>
    <x v="2"/>
    <n v="40"/>
    <x v="1"/>
    <x v="0"/>
  </r>
  <r>
    <n v="28056"/>
    <x v="0"/>
    <x v="1"/>
    <n v="70000"/>
    <n v="2"/>
    <x v="3"/>
    <s v="Skilled Manual"/>
    <s v="Yes"/>
    <n v="2"/>
    <x v="4"/>
    <x v="2"/>
    <n v="53"/>
    <x v="1"/>
    <x v="0"/>
  </r>
  <r>
    <n v="11788"/>
    <x v="1"/>
    <x v="0"/>
    <n v="70000"/>
    <n v="1"/>
    <x v="4"/>
    <s v="Professional"/>
    <s v="Yes"/>
    <n v="0"/>
    <x v="1"/>
    <x v="2"/>
    <n v="34"/>
    <x v="1"/>
    <x v="0"/>
  </r>
  <r>
    <n v="22296"/>
    <x v="0"/>
    <x v="1"/>
    <n v="70000"/>
    <n v="0"/>
    <x v="0"/>
    <s v="Professional"/>
    <s v="No"/>
    <n v="1"/>
    <x v="0"/>
    <x v="2"/>
    <n v="38"/>
    <x v="1"/>
    <x v="0"/>
  </r>
  <r>
    <n v="15319"/>
    <x v="0"/>
    <x v="0"/>
    <n v="70000"/>
    <n v="4"/>
    <x v="0"/>
    <s v="Management"/>
    <s v="No"/>
    <n v="1"/>
    <x v="3"/>
    <x v="2"/>
    <n v="59"/>
    <x v="0"/>
    <x v="0"/>
  </r>
  <r>
    <n v="17654"/>
    <x v="1"/>
    <x v="0"/>
    <n v="40000"/>
    <n v="3"/>
    <x v="1"/>
    <s v="Clerical"/>
    <s v="Yes"/>
    <n v="1"/>
    <x v="3"/>
    <x v="2"/>
    <n v="30"/>
    <x v="0"/>
    <x v="1"/>
  </r>
  <r>
    <n v="14662"/>
    <x v="0"/>
    <x v="1"/>
    <n v="60000"/>
    <n v="1"/>
    <x v="0"/>
    <s v="Professional"/>
    <s v="Yes"/>
    <n v="1"/>
    <x v="0"/>
    <x v="2"/>
    <n v="48"/>
    <x v="1"/>
    <x v="1"/>
  </r>
  <r>
    <n v="17541"/>
    <x v="0"/>
    <x v="0"/>
    <n v="40000"/>
    <n v="4"/>
    <x v="2"/>
    <s v="Skilled Manual"/>
    <s v="Yes"/>
    <n v="2"/>
    <x v="1"/>
    <x v="2"/>
    <n v="43"/>
    <x v="2"/>
    <x v="0"/>
  </r>
  <r>
    <n v="13886"/>
    <x v="0"/>
    <x v="0"/>
    <n v="70000"/>
    <n v="4"/>
    <x v="4"/>
    <s v="Professional"/>
    <s v="Yes"/>
    <n v="0"/>
    <x v="1"/>
    <x v="2"/>
    <n v="35"/>
    <x v="0"/>
    <x v="1"/>
  </r>
  <r>
    <n v="13073"/>
    <x v="0"/>
    <x v="0"/>
    <n v="60000"/>
    <n v="0"/>
    <x v="1"/>
    <s v="Professional"/>
    <s v="Yes"/>
    <n v="2"/>
    <x v="2"/>
    <x v="2"/>
    <n v="30"/>
    <x v="0"/>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0"/>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0"/>
    <x v="0"/>
  </r>
  <r>
    <n v="18329"/>
    <x v="1"/>
    <x v="1"/>
    <n v="30000"/>
    <n v="0"/>
    <x v="3"/>
    <s v="Clerical"/>
    <s v="No"/>
    <n v="2"/>
    <x v="2"/>
    <x v="2"/>
    <n v="27"/>
    <x v="0"/>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1"/>
    <x v="0"/>
  </r>
  <r>
    <n v="17462"/>
    <x v="0"/>
    <x v="1"/>
    <n v="70000"/>
    <n v="3"/>
    <x v="4"/>
    <s v="Management"/>
    <s v="Yes"/>
    <n v="2"/>
    <x v="2"/>
    <x v="2"/>
    <n v="53"/>
    <x v="1"/>
    <x v="1"/>
  </r>
  <r>
    <n v="20659"/>
    <x v="0"/>
    <x v="1"/>
    <n v="70000"/>
    <n v="3"/>
    <x v="4"/>
    <s v="Professional"/>
    <s v="Yes"/>
    <n v="0"/>
    <x v="0"/>
    <x v="2"/>
    <n v="35"/>
    <x v="1"/>
    <x v="1"/>
  </r>
  <r>
    <n v="28004"/>
    <x v="0"/>
    <x v="0"/>
    <n v="60000"/>
    <n v="3"/>
    <x v="0"/>
    <s v="Management"/>
    <s v="Yes"/>
    <n v="2"/>
    <x v="4"/>
    <x v="2"/>
    <n v="66"/>
    <x v="0"/>
    <x v="0"/>
  </r>
  <r>
    <n v="19741"/>
    <x v="1"/>
    <x v="0"/>
    <n v="80000"/>
    <n v="4"/>
    <x v="4"/>
    <s v="Management"/>
    <s v="Yes"/>
    <n v="2"/>
    <x v="2"/>
    <x v="2"/>
    <n v="65"/>
    <x v="2"/>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0"/>
    <x v="1"/>
  </r>
  <r>
    <n v="28972"/>
    <x v="1"/>
    <x v="0"/>
    <n v="60000"/>
    <n v="3"/>
    <x v="4"/>
    <s v="Management"/>
    <s v="Yes"/>
    <n v="2"/>
    <x v="4"/>
    <x v="2"/>
    <n v="66"/>
    <x v="2"/>
    <x v="0"/>
  </r>
  <r>
    <n v="22730"/>
    <x v="0"/>
    <x v="1"/>
    <n v="70000"/>
    <n v="5"/>
    <x v="0"/>
    <s v="Management"/>
    <s v="Yes"/>
    <n v="2"/>
    <x v="4"/>
    <x v="2"/>
    <n v="63"/>
    <x v="2"/>
    <x v="0"/>
  </r>
  <r>
    <n v="29134"/>
    <x v="0"/>
    <x v="1"/>
    <n v="60000"/>
    <n v="4"/>
    <x v="0"/>
    <s v="Skilled Manual"/>
    <s v="No"/>
    <n v="3"/>
    <x v="4"/>
    <x v="2"/>
    <n v="42"/>
    <x v="2"/>
    <x v="0"/>
  </r>
  <r>
    <n v="14332"/>
    <x v="1"/>
    <x v="0"/>
    <n v="30000"/>
    <n v="0"/>
    <x v="2"/>
    <s v="Skilled Manual"/>
    <s v="No"/>
    <n v="2"/>
    <x v="2"/>
    <x v="2"/>
    <n v="26"/>
    <x v="2"/>
    <x v="0"/>
  </r>
  <r>
    <n v="19117"/>
    <x v="1"/>
    <x v="0"/>
    <n v="60000"/>
    <n v="1"/>
    <x v="4"/>
    <s v="Professional"/>
    <s v="Yes"/>
    <n v="0"/>
    <x v="1"/>
    <x v="2"/>
    <n v="36"/>
    <x v="2"/>
    <x v="1"/>
  </r>
  <r>
    <n v="22864"/>
    <x v="0"/>
    <x v="1"/>
    <n v="90000"/>
    <n v="2"/>
    <x v="1"/>
    <s v="Professional"/>
    <s v="No"/>
    <n v="0"/>
    <x v="2"/>
    <x v="2"/>
    <n v="49"/>
    <x v="2"/>
    <x v="1"/>
  </r>
  <r>
    <n v="11292"/>
    <x v="1"/>
    <x v="1"/>
    <n v="150000"/>
    <n v="1"/>
    <x v="1"/>
    <s v="Professional"/>
    <s v="No"/>
    <n v="3"/>
    <x v="0"/>
    <x v="2"/>
    <n v="44"/>
    <x v="2"/>
    <x v="1"/>
  </r>
  <r>
    <n v="13466"/>
    <x v="0"/>
    <x v="1"/>
    <n v="80000"/>
    <n v="5"/>
    <x v="1"/>
    <s v="Professional"/>
    <s v="Yes"/>
    <n v="3"/>
    <x v="3"/>
    <x v="2"/>
    <n v="46"/>
    <x v="2"/>
    <x v="0"/>
  </r>
  <r>
    <n v="23731"/>
    <x v="0"/>
    <x v="1"/>
    <n v="60000"/>
    <n v="2"/>
    <x v="2"/>
    <s v="Professional"/>
    <s v="Yes"/>
    <n v="2"/>
    <x v="1"/>
    <x v="2"/>
    <n v="54"/>
    <x v="2"/>
    <x v="1"/>
  </r>
  <r>
    <n v="28672"/>
    <x v="1"/>
    <x v="1"/>
    <n v="70000"/>
    <n v="4"/>
    <x v="4"/>
    <s v="Professional"/>
    <s v="Yes"/>
    <n v="0"/>
    <x v="1"/>
    <x v="2"/>
    <n v="35"/>
    <x v="2"/>
    <x v="1"/>
  </r>
  <r>
    <n v="11809"/>
    <x v="0"/>
    <x v="1"/>
    <n v="60000"/>
    <n v="2"/>
    <x v="0"/>
    <s v="Skilled Manual"/>
    <s v="Yes"/>
    <n v="0"/>
    <x v="0"/>
    <x v="2"/>
    <n v="38"/>
    <x v="2"/>
    <x v="1"/>
  </r>
  <r>
    <n v="19664"/>
    <x v="1"/>
    <x v="1"/>
    <n v="100000"/>
    <n v="3"/>
    <x v="0"/>
    <s v="Management"/>
    <s v="No"/>
    <n v="3"/>
    <x v="3"/>
    <x v="2"/>
    <n v="38"/>
    <x v="2"/>
    <x v="0"/>
  </r>
  <r>
    <n v="12121"/>
    <x v="1"/>
    <x v="1"/>
    <n v="60000"/>
    <n v="3"/>
    <x v="2"/>
    <s v="Professional"/>
    <s v="Yes"/>
    <n v="2"/>
    <x v="4"/>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1716EA-82C9-4169-A0DA-22D40445BFA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0:D63"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axis="axisRow" showAll="0">
      <items count="4">
        <item h="1" x="0"/>
        <item x="2"/>
        <item h="1" x="1"/>
        <item t="default"/>
      </items>
    </pivotField>
    <pivotField showAll="0"/>
    <pivotField showAll="0"/>
    <pivotField axis="axisCol" dataField="1" showAll="0">
      <items count="3">
        <item x="0"/>
        <item x="1"/>
        <item t="default"/>
      </items>
    </pivotField>
  </pivotFields>
  <rowFields count="1">
    <field x="10"/>
  </rowFields>
  <rowItems count="2">
    <i>
      <x v="1"/>
    </i>
    <i t="grand">
      <x/>
    </i>
  </rowItems>
  <colFields count="1">
    <field x="13"/>
  </colFields>
  <colItems count="3">
    <i>
      <x/>
    </i>
    <i>
      <x v="1"/>
    </i>
    <i t="grand">
      <x/>
    </i>
  </colItems>
  <dataFields count="1">
    <dataField name="Count of Purchased Bike" fld="13" subtotal="count" baseField="0" baseItem="0"/>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pivotArea type="data" outline="0" fieldPosition="0">
        <references count="3">
          <reference field="4294967294" count="1" selected="0">
            <x v="0"/>
          </reference>
          <reference field="10" count="1" selected="0">
            <x v="0"/>
          </reference>
          <reference field="13" count="1" selected="0">
            <x v="0"/>
          </reference>
        </references>
      </pivotArea>
    </chartFormat>
    <chartFormat chart="1" format="3">
      <pivotArea type="data" outline="0" fieldPosition="0">
        <references count="3">
          <reference field="4294967294" count="1" selected="0">
            <x v="0"/>
          </reference>
          <reference field="10" count="1" selected="0">
            <x v="1"/>
          </reference>
          <reference field="13" count="1" selected="0">
            <x v="0"/>
          </reference>
        </references>
      </pivotArea>
    </chartFormat>
    <chartFormat chart="1" format="4">
      <pivotArea type="data" outline="0" fieldPosition="0">
        <references count="3">
          <reference field="4294967294" count="1" selected="0">
            <x v="0"/>
          </reference>
          <reference field="10" count="1" selected="0">
            <x v="2"/>
          </reference>
          <reference field="13" count="1" selected="0">
            <x v="0"/>
          </reference>
        </references>
      </pivotArea>
    </chartFormat>
    <chartFormat chart="1" format="5">
      <pivotArea type="data" outline="0" fieldPosition="0">
        <references count="3">
          <reference field="4294967294" count="1" selected="0">
            <x v="0"/>
          </reference>
          <reference field="10" count="1" selected="0">
            <x v="0"/>
          </reference>
          <reference field="13" count="1" selected="0">
            <x v="1"/>
          </reference>
        </references>
      </pivotArea>
    </chartFormat>
    <chartFormat chart="1" format="6">
      <pivotArea type="data" outline="0" fieldPosition="0">
        <references count="3">
          <reference field="4294967294" count="1" selected="0">
            <x v="0"/>
          </reference>
          <reference field="10" count="1" selected="0">
            <x v="1"/>
          </reference>
          <reference field="13" count="1" selected="0">
            <x v="1"/>
          </reference>
        </references>
      </pivotArea>
    </chartFormat>
    <chartFormat chart="1" format="7">
      <pivotArea type="data" outline="0" fieldPosition="0">
        <references count="3">
          <reference field="4294967294" count="1" selected="0">
            <x v="0"/>
          </reference>
          <reference field="10" count="1" selected="0">
            <x v="2"/>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7CBA6B-ED88-4EB8-8E24-A4C67ABC56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2:D4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0"/>
          </reference>
          <reference field="13" count="1" selected="0">
            <x v="0"/>
          </reference>
        </references>
      </pivotArea>
    </chartFormat>
    <chartFormat chart="0" format="3">
      <pivotArea type="data" outline="0" fieldPosition="0">
        <references count="3">
          <reference field="4294967294" count="1" selected="0">
            <x v="0"/>
          </reference>
          <reference field="12" count="1" selected="0">
            <x v="1"/>
          </reference>
          <reference field="13" count="1" selected="0">
            <x v="0"/>
          </reference>
        </references>
      </pivotArea>
    </chartFormat>
    <chartFormat chart="0" format="4">
      <pivotArea type="data" outline="0" fieldPosition="0">
        <references count="3">
          <reference field="4294967294" count="1" selected="0">
            <x v="0"/>
          </reference>
          <reference field="12" count="1" selected="0">
            <x v="2"/>
          </reference>
          <reference field="13" count="1" selected="0">
            <x v="0"/>
          </reference>
        </references>
      </pivotArea>
    </chartFormat>
    <chartFormat chart="0" format="5">
      <pivotArea type="data" outline="0" fieldPosition="0">
        <references count="3">
          <reference field="4294967294" count="1" selected="0">
            <x v="0"/>
          </reference>
          <reference field="12" count="1" selected="0">
            <x v="0"/>
          </reference>
          <reference field="13" count="1" selected="0">
            <x v="1"/>
          </reference>
        </references>
      </pivotArea>
    </chartFormat>
    <chartFormat chart="0" format="6">
      <pivotArea type="data" outline="0" fieldPosition="0">
        <references count="3">
          <reference field="4294967294" count="1" selected="0">
            <x v="0"/>
          </reference>
          <reference field="12" count="1" selected="0">
            <x v="1"/>
          </reference>
          <reference field="13" count="1" selected="0">
            <x v="1"/>
          </reference>
        </references>
      </pivotArea>
    </chartFormat>
    <chartFormat chart="0" format="7">
      <pivotArea type="data" outline="0" fieldPosition="0">
        <references count="3">
          <reference field="4294967294" count="1" selected="0">
            <x v="0"/>
          </reference>
          <reference field="12" count="1" selected="0">
            <x v="2"/>
          </reference>
          <reference field="13" count="1" selected="0">
            <x v="1"/>
          </reference>
        </references>
      </pivotArea>
    </chartFormat>
    <chartFormat chart="13" format="16" series="1">
      <pivotArea type="data" outline="0" fieldPosition="0">
        <references count="2">
          <reference field="4294967294" count="1" selected="0">
            <x v="0"/>
          </reference>
          <reference field="13" count="1" selected="0">
            <x v="0"/>
          </reference>
        </references>
      </pivotArea>
    </chartFormat>
    <chartFormat chart="13" format="17">
      <pivotArea type="data" outline="0" fieldPosition="0">
        <references count="3">
          <reference field="4294967294" count="1" selected="0">
            <x v="0"/>
          </reference>
          <reference field="12" count="1" selected="0">
            <x v="0"/>
          </reference>
          <reference field="13" count="1" selected="0">
            <x v="0"/>
          </reference>
        </references>
      </pivotArea>
    </chartFormat>
    <chartFormat chart="13" format="18">
      <pivotArea type="data" outline="0" fieldPosition="0">
        <references count="3">
          <reference field="4294967294" count="1" selected="0">
            <x v="0"/>
          </reference>
          <reference field="12" count="1" selected="0">
            <x v="1"/>
          </reference>
          <reference field="13" count="1" selected="0">
            <x v="0"/>
          </reference>
        </references>
      </pivotArea>
    </chartFormat>
    <chartFormat chart="13" format="19">
      <pivotArea type="data" outline="0" fieldPosition="0">
        <references count="3">
          <reference field="4294967294" count="1" selected="0">
            <x v="0"/>
          </reference>
          <reference field="12" count="1" selected="0">
            <x v="2"/>
          </reference>
          <reference field="13" count="1" selected="0">
            <x v="0"/>
          </reference>
        </references>
      </pivotArea>
    </chartFormat>
    <chartFormat chart="13" format="20" series="1">
      <pivotArea type="data" outline="0" fieldPosition="0">
        <references count="2">
          <reference field="4294967294" count="1" selected="0">
            <x v="0"/>
          </reference>
          <reference field="13" count="1" selected="0">
            <x v="1"/>
          </reference>
        </references>
      </pivotArea>
    </chartFormat>
    <chartFormat chart="13" format="21">
      <pivotArea type="data" outline="0" fieldPosition="0">
        <references count="3">
          <reference field="4294967294" count="1" selected="0">
            <x v="0"/>
          </reference>
          <reference field="12" count="1" selected="0">
            <x v="0"/>
          </reference>
          <reference field="13" count="1" selected="0">
            <x v="1"/>
          </reference>
        </references>
      </pivotArea>
    </chartFormat>
    <chartFormat chart="13" format="22">
      <pivotArea type="data" outline="0" fieldPosition="0">
        <references count="3">
          <reference field="4294967294" count="1" selected="0">
            <x v="0"/>
          </reference>
          <reference field="12" count="1" selected="0">
            <x v="1"/>
          </reference>
          <reference field="13" count="1" selected="0">
            <x v="1"/>
          </reference>
        </references>
      </pivotArea>
    </chartFormat>
    <chartFormat chart="13" format="23">
      <pivotArea type="data" outline="0" fieldPosition="0">
        <references count="3">
          <reference field="4294967294" count="1" selected="0">
            <x v="0"/>
          </reference>
          <reference field="12" count="1" selected="0">
            <x v="2"/>
          </reference>
          <reference field="13" count="1" selected="0">
            <x v="1"/>
          </reference>
        </references>
      </pivotArea>
    </chartFormat>
    <chartFormat chart="14" format="0" series="1">
      <pivotArea type="data" outline="0" fieldPosition="0">
        <references count="2">
          <reference field="4294967294" count="1" selected="0">
            <x v="0"/>
          </reference>
          <reference field="13" count="1" selected="0">
            <x v="0"/>
          </reference>
        </references>
      </pivotArea>
    </chartFormat>
    <chartFormat chart="14" format="1"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96761C-E9EA-493C-A84B-0A75E34E13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3:D30"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5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4" format="14" series="1">
      <pivotArea type="data" outline="0" fieldPosition="0">
        <references count="2">
          <reference field="4294967294" count="1" selected="0">
            <x v="0"/>
          </reference>
          <reference field="13" count="1" selected="0">
            <x v="0"/>
          </reference>
        </references>
      </pivotArea>
    </chartFormat>
    <chartFormat chart="14" format="15">
      <pivotArea type="data" outline="0" fieldPosition="0">
        <references count="3">
          <reference field="4294967294" count="1" selected="0">
            <x v="0"/>
          </reference>
          <reference field="9" count="1" selected="0">
            <x v="0"/>
          </reference>
          <reference field="13" count="1" selected="0">
            <x v="0"/>
          </reference>
        </references>
      </pivotArea>
    </chartFormat>
    <chartFormat chart="14" format="16">
      <pivotArea type="data" outline="0" fieldPosition="0">
        <references count="3">
          <reference field="4294967294" count="1" selected="0">
            <x v="0"/>
          </reference>
          <reference field="9" count="1" selected="0">
            <x v="1"/>
          </reference>
          <reference field="13" count="1" selected="0">
            <x v="0"/>
          </reference>
        </references>
      </pivotArea>
    </chartFormat>
    <chartFormat chart="14" format="17">
      <pivotArea type="data" outline="0" fieldPosition="0">
        <references count="3">
          <reference field="4294967294" count="1" selected="0">
            <x v="0"/>
          </reference>
          <reference field="9" count="1" selected="0">
            <x v="2"/>
          </reference>
          <reference field="13" count="1" selected="0">
            <x v="0"/>
          </reference>
        </references>
      </pivotArea>
    </chartFormat>
    <chartFormat chart="14" format="18">
      <pivotArea type="data" outline="0" fieldPosition="0">
        <references count="3">
          <reference field="4294967294" count="1" selected="0">
            <x v="0"/>
          </reference>
          <reference field="9" count="1" selected="0">
            <x v="3"/>
          </reference>
          <reference field="13" count="1" selected="0">
            <x v="0"/>
          </reference>
        </references>
      </pivotArea>
    </chartFormat>
    <chartFormat chart="14" format="19">
      <pivotArea type="data" outline="0" fieldPosition="0">
        <references count="3">
          <reference field="4294967294" count="1" selected="0">
            <x v="0"/>
          </reference>
          <reference field="9" count="1" selected="0">
            <x v="4"/>
          </reference>
          <reference field="13" count="1" selected="0">
            <x v="0"/>
          </reference>
        </references>
      </pivotArea>
    </chartFormat>
    <chartFormat chart="14" format="20" series="1">
      <pivotArea type="data" outline="0" fieldPosition="0">
        <references count="2">
          <reference field="4294967294" count="1" selected="0">
            <x v="0"/>
          </reference>
          <reference field="13" count="1" selected="0">
            <x v="1"/>
          </reference>
        </references>
      </pivotArea>
    </chartFormat>
    <chartFormat chart="14" format="21">
      <pivotArea type="data" outline="0" fieldPosition="0">
        <references count="3">
          <reference field="4294967294" count="1" selected="0">
            <x v="0"/>
          </reference>
          <reference field="9" count="1" selected="0">
            <x v="0"/>
          </reference>
          <reference field="13" count="1" selected="0">
            <x v="1"/>
          </reference>
        </references>
      </pivotArea>
    </chartFormat>
    <chartFormat chart="14" format="22">
      <pivotArea type="data" outline="0" fieldPosition="0">
        <references count="3">
          <reference field="4294967294" count="1" selected="0">
            <x v="0"/>
          </reference>
          <reference field="9" count="1" selected="0">
            <x v="1"/>
          </reference>
          <reference field="13" count="1" selected="0">
            <x v="1"/>
          </reference>
        </references>
      </pivotArea>
    </chartFormat>
    <chartFormat chart="14" format="23">
      <pivotArea type="data" outline="0" fieldPosition="0">
        <references count="3">
          <reference field="4294967294" count="1" selected="0">
            <x v="0"/>
          </reference>
          <reference field="9" count="1" selected="0">
            <x v="2"/>
          </reference>
          <reference field="13" count="1" selected="0">
            <x v="1"/>
          </reference>
        </references>
      </pivotArea>
    </chartFormat>
    <chartFormat chart="14" format="24">
      <pivotArea type="data" outline="0" fieldPosition="0">
        <references count="3">
          <reference field="4294967294" count="1" selected="0">
            <x v="0"/>
          </reference>
          <reference field="9" count="1" selected="0">
            <x v="3"/>
          </reference>
          <reference field="13" count="1" selected="0">
            <x v="1"/>
          </reference>
        </references>
      </pivotArea>
    </chartFormat>
    <chartFormat chart="14" format="25">
      <pivotArea type="data" outline="0" fieldPosition="0">
        <references count="3">
          <reference field="4294967294" count="1" selected="0">
            <x v="0"/>
          </reference>
          <reference field="9" count="1" selected="0">
            <x v="4"/>
          </reference>
          <reference field="13" count="1" selected="0">
            <x v="1"/>
          </reference>
        </references>
      </pivotArea>
    </chartFormat>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17" format="14" series="1">
      <pivotArea type="data" outline="0" fieldPosition="0">
        <references count="2">
          <reference field="4294967294" count="1" selected="0">
            <x v="0"/>
          </reference>
          <reference field="13" count="1" selected="0">
            <x v="0"/>
          </reference>
        </references>
      </pivotArea>
    </chartFormat>
    <chartFormat chart="17" format="15">
      <pivotArea type="data" outline="0" fieldPosition="0">
        <references count="3">
          <reference field="4294967294" count="1" selected="0">
            <x v="0"/>
          </reference>
          <reference field="9" count="1" selected="0">
            <x v="0"/>
          </reference>
          <reference field="13" count="1" selected="0">
            <x v="0"/>
          </reference>
        </references>
      </pivotArea>
    </chartFormat>
    <chartFormat chart="17" format="16">
      <pivotArea type="data" outline="0" fieldPosition="0">
        <references count="3">
          <reference field="4294967294" count="1" selected="0">
            <x v="0"/>
          </reference>
          <reference field="9" count="1" selected="0">
            <x v="1"/>
          </reference>
          <reference field="13" count="1" selected="0">
            <x v="0"/>
          </reference>
        </references>
      </pivotArea>
    </chartFormat>
    <chartFormat chart="17" format="17">
      <pivotArea type="data" outline="0" fieldPosition="0">
        <references count="3">
          <reference field="4294967294" count="1" selected="0">
            <x v="0"/>
          </reference>
          <reference field="9" count="1" selected="0">
            <x v="2"/>
          </reference>
          <reference field="13" count="1" selected="0">
            <x v="0"/>
          </reference>
        </references>
      </pivotArea>
    </chartFormat>
    <chartFormat chart="17" format="18">
      <pivotArea type="data" outline="0" fieldPosition="0">
        <references count="3">
          <reference field="4294967294" count="1" selected="0">
            <x v="0"/>
          </reference>
          <reference field="9" count="1" selected="0">
            <x v="3"/>
          </reference>
          <reference field="13" count="1" selected="0">
            <x v="0"/>
          </reference>
        </references>
      </pivotArea>
    </chartFormat>
    <chartFormat chart="17" format="19">
      <pivotArea type="data" outline="0" fieldPosition="0">
        <references count="3">
          <reference field="4294967294" count="1" selected="0">
            <x v="0"/>
          </reference>
          <reference field="9" count="1" selected="0">
            <x v="4"/>
          </reference>
          <reference field="13" count="1" selected="0">
            <x v="0"/>
          </reference>
        </references>
      </pivotArea>
    </chartFormat>
    <chartFormat chart="17" format="20" series="1">
      <pivotArea type="data" outline="0" fieldPosition="0">
        <references count="2">
          <reference field="4294967294" count="1" selected="0">
            <x v="0"/>
          </reference>
          <reference field="13" count="1" selected="0">
            <x v="1"/>
          </reference>
        </references>
      </pivotArea>
    </chartFormat>
    <chartFormat chart="17" format="21">
      <pivotArea type="data" outline="0" fieldPosition="0">
        <references count="3">
          <reference field="4294967294" count="1" selected="0">
            <x v="0"/>
          </reference>
          <reference field="9" count="1" selected="0">
            <x v="0"/>
          </reference>
          <reference field="13" count="1" selected="0">
            <x v="1"/>
          </reference>
        </references>
      </pivotArea>
    </chartFormat>
    <chartFormat chart="17" format="22">
      <pivotArea type="data" outline="0" fieldPosition="0">
        <references count="3">
          <reference field="4294967294" count="1" selected="0">
            <x v="0"/>
          </reference>
          <reference field="9" count="1" selected="0">
            <x v="1"/>
          </reference>
          <reference field="13" count="1" selected="0">
            <x v="1"/>
          </reference>
        </references>
      </pivotArea>
    </chartFormat>
    <chartFormat chart="17" format="23">
      <pivotArea type="data" outline="0" fieldPosition="0">
        <references count="3">
          <reference field="4294967294" count="1" selected="0">
            <x v="0"/>
          </reference>
          <reference field="9" count="1" selected="0">
            <x v="2"/>
          </reference>
          <reference field="13" count="1" selected="0">
            <x v="1"/>
          </reference>
        </references>
      </pivotArea>
    </chartFormat>
    <chartFormat chart="17" format="24">
      <pivotArea type="data" outline="0" fieldPosition="0">
        <references count="3">
          <reference field="4294967294" count="1" selected="0">
            <x v="0"/>
          </reference>
          <reference field="9" count="1" selected="0">
            <x v="3"/>
          </reference>
          <reference field="13" count="1" selected="0">
            <x v="1"/>
          </reference>
        </references>
      </pivotArea>
    </chartFormat>
    <chartFormat chart="17" format="25">
      <pivotArea type="data" outline="0" fieldPosition="0">
        <references count="3">
          <reference field="4294967294" count="1" selected="0">
            <x v="0"/>
          </reference>
          <reference field="9" count="1" selected="0">
            <x v="4"/>
          </reference>
          <reference field="13" count="1" selected="0">
            <x v="1"/>
          </reference>
        </references>
      </pivotArea>
    </chartFormat>
    <chartFormat chart="15" format="2">
      <pivotArea type="data" outline="0" fieldPosition="0">
        <references count="3">
          <reference field="4294967294" count="1" selected="0">
            <x v="0"/>
          </reference>
          <reference field="9" count="1" selected="0">
            <x v="0"/>
          </reference>
          <reference field="13" count="1" selected="0">
            <x v="0"/>
          </reference>
        </references>
      </pivotArea>
    </chartFormat>
    <chartFormat chart="15" format="3">
      <pivotArea type="data" outline="0" fieldPosition="0">
        <references count="3">
          <reference field="4294967294" count="1" selected="0">
            <x v="0"/>
          </reference>
          <reference field="9" count="1" selected="0">
            <x v="2"/>
          </reference>
          <reference field="13" count="1" selected="0">
            <x v="0"/>
          </reference>
        </references>
      </pivotArea>
    </chartFormat>
    <chartFormat chart="15" format="4">
      <pivotArea type="data" outline="0" fieldPosition="0">
        <references count="3">
          <reference field="4294967294" count="1" selected="0">
            <x v="0"/>
          </reference>
          <reference field="9" count="1" selected="0">
            <x v="0"/>
          </reference>
          <reference field="13" count="1" selected="0">
            <x v="1"/>
          </reference>
        </references>
      </pivotArea>
    </chartFormat>
    <chartFormat chart="15" format="5">
      <pivotArea type="data" outline="0" fieldPosition="0">
        <references count="3">
          <reference field="4294967294" count="1" selected="0">
            <x v="0"/>
          </reference>
          <reference field="9" count="1" selected="0">
            <x v="2"/>
          </reference>
          <reference field="13" count="1" selected="0">
            <x v="1"/>
          </reference>
        </references>
      </pivotArea>
    </chartFormat>
    <chartFormat chart="0" format="2">
      <pivotArea type="data" outline="0" fieldPosition="0">
        <references count="3">
          <reference field="4294967294" count="1" selected="0">
            <x v="0"/>
          </reference>
          <reference field="9" count="1" selected="0">
            <x v="0"/>
          </reference>
          <reference field="13" count="1" selected="0">
            <x v="0"/>
          </reference>
        </references>
      </pivotArea>
    </chartFormat>
    <chartFormat chart="0" format="3">
      <pivotArea type="data" outline="0" fieldPosition="0">
        <references count="3">
          <reference field="4294967294" count="1" selected="0">
            <x v="0"/>
          </reference>
          <reference field="9" count="1" selected="0">
            <x v="2"/>
          </reference>
          <reference field="13" count="1" selected="0">
            <x v="0"/>
          </reference>
        </references>
      </pivotArea>
    </chartFormat>
    <chartFormat chart="0" format="4">
      <pivotArea type="data" outline="0" fieldPosition="0">
        <references count="3">
          <reference field="4294967294" count="1" selected="0">
            <x v="0"/>
          </reference>
          <reference field="9" count="1" selected="0">
            <x v="0"/>
          </reference>
          <reference field="13" count="1" selected="0">
            <x v="1"/>
          </reference>
        </references>
      </pivotArea>
    </chartFormat>
    <chartFormat chart="0" format="5">
      <pivotArea type="data" outline="0" fieldPosition="0">
        <references count="3">
          <reference field="4294967294" count="1" selected="0">
            <x v="0"/>
          </reference>
          <reference field="9" count="1" selected="0">
            <x v="2"/>
          </reference>
          <reference field="13" count="1" selected="0">
            <x v="1"/>
          </reference>
        </references>
      </pivotArea>
    </chartFormat>
    <chartFormat chart="0" format="6">
      <pivotArea type="data" outline="0" fieldPosition="0">
        <references count="3">
          <reference field="4294967294" count="1" selected="0">
            <x v="0"/>
          </reference>
          <reference field="9" count="1" selected="0">
            <x v="1"/>
          </reference>
          <reference field="13" count="1" selected="0">
            <x v="0"/>
          </reference>
        </references>
      </pivotArea>
    </chartFormat>
    <chartFormat chart="0" format="7">
      <pivotArea type="data" outline="0" fieldPosition="0">
        <references count="3">
          <reference field="4294967294" count="1" selected="0">
            <x v="0"/>
          </reference>
          <reference field="9" count="1" selected="0">
            <x v="3"/>
          </reference>
          <reference field="13" count="1" selected="0">
            <x v="0"/>
          </reference>
        </references>
      </pivotArea>
    </chartFormat>
    <chartFormat chart="0" format="8">
      <pivotArea type="data" outline="0" fieldPosition="0">
        <references count="3">
          <reference field="4294967294" count="1" selected="0">
            <x v="0"/>
          </reference>
          <reference field="9" count="1" selected="0">
            <x v="4"/>
          </reference>
          <reference field="13" count="1" selected="0">
            <x v="0"/>
          </reference>
        </references>
      </pivotArea>
    </chartFormat>
    <chartFormat chart="0" format="9">
      <pivotArea type="data" outline="0" fieldPosition="0">
        <references count="3">
          <reference field="4294967294" count="1" selected="0">
            <x v="0"/>
          </reference>
          <reference field="9" count="1" selected="0">
            <x v="1"/>
          </reference>
          <reference field="13" count="1" selected="0">
            <x v="1"/>
          </reference>
        </references>
      </pivotArea>
    </chartFormat>
    <chartFormat chart="0" format="10">
      <pivotArea type="data" outline="0" fieldPosition="0">
        <references count="3">
          <reference field="4294967294" count="1" selected="0">
            <x v="0"/>
          </reference>
          <reference field="9" count="1" selected="0">
            <x v="3"/>
          </reference>
          <reference field="13" count="1" selected="0">
            <x v="1"/>
          </reference>
        </references>
      </pivotArea>
    </chartFormat>
    <chartFormat chart="0" format="11">
      <pivotArea type="data" outline="0" fieldPosition="0">
        <references count="3">
          <reference field="4294967294" count="1" selected="0">
            <x v="0"/>
          </reference>
          <reference field="9" count="1" selected="0">
            <x v="4"/>
          </reference>
          <reference field="13" count="1" selected="0">
            <x v="1"/>
          </reference>
        </references>
      </pivotArea>
    </chartFormat>
    <chartFormat chart="15" format="6">
      <pivotArea type="data" outline="0" fieldPosition="0">
        <references count="3">
          <reference field="4294967294" count="1" selected="0">
            <x v="0"/>
          </reference>
          <reference field="9" count="1" selected="0">
            <x v="1"/>
          </reference>
          <reference field="13" count="1" selected="0">
            <x v="0"/>
          </reference>
        </references>
      </pivotArea>
    </chartFormat>
    <chartFormat chart="15" format="7">
      <pivotArea type="data" outline="0" fieldPosition="0">
        <references count="3">
          <reference field="4294967294" count="1" selected="0">
            <x v="0"/>
          </reference>
          <reference field="9" count="1" selected="0">
            <x v="3"/>
          </reference>
          <reference field="13" count="1" selected="0">
            <x v="0"/>
          </reference>
        </references>
      </pivotArea>
    </chartFormat>
    <chartFormat chart="15" format="8">
      <pivotArea type="data" outline="0" fieldPosition="0">
        <references count="3">
          <reference field="4294967294" count="1" selected="0">
            <x v="0"/>
          </reference>
          <reference field="9" count="1" selected="0">
            <x v="4"/>
          </reference>
          <reference field="13" count="1" selected="0">
            <x v="0"/>
          </reference>
        </references>
      </pivotArea>
    </chartFormat>
    <chartFormat chart="15" format="9">
      <pivotArea type="data" outline="0" fieldPosition="0">
        <references count="3">
          <reference field="4294967294" count="1" selected="0">
            <x v="0"/>
          </reference>
          <reference field="9" count="1" selected="0">
            <x v="1"/>
          </reference>
          <reference field="13" count="1" selected="0">
            <x v="1"/>
          </reference>
        </references>
      </pivotArea>
    </chartFormat>
    <chartFormat chart="15" format="10">
      <pivotArea type="data" outline="0" fieldPosition="0">
        <references count="3">
          <reference field="4294967294" count="1" selected="0">
            <x v="0"/>
          </reference>
          <reference field="9" count="1" selected="0">
            <x v="3"/>
          </reference>
          <reference field="13" count="1" selected="0">
            <x v="1"/>
          </reference>
        </references>
      </pivotArea>
    </chartFormat>
    <chartFormat chart="15" format="11">
      <pivotArea type="data" outline="0" fieldPosition="0">
        <references count="3">
          <reference field="4294967294" count="1" selected="0">
            <x v="0"/>
          </reference>
          <reference field="9"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1CD1DF-78AB-4C6C-A425-C11B50E6F7C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1"/>
          </reference>
          <reference field="13" count="1" selected="0">
            <x v="1"/>
          </reference>
        </references>
      </pivotArea>
    </chartFormat>
    <chartFormat chart="0" format="3">
      <pivotArea type="data" outline="0" fieldPosition="0">
        <references count="3">
          <reference field="4294967294" count="1" selected="0">
            <x v="0"/>
          </reference>
          <reference field="2" count="1" selected="0">
            <x v="1"/>
          </reference>
          <reference field="13" count="1" selected="0">
            <x v="0"/>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pivotArea type="data" outline="0" fieldPosition="0">
        <references count="3">
          <reference field="4294967294" count="1" selected="0">
            <x v="0"/>
          </reference>
          <reference field="2" count="1" selected="0">
            <x v="1"/>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pivotArea type="data" outline="0" fieldPosition="0">
        <references count="3">
          <reference field="4294967294" count="1" selected="0">
            <x v="0"/>
          </reference>
          <reference field="2" count="1" selected="0">
            <x v="1"/>
          </reference>
          <reference field="13" count="1" selected="0">
            <x v="1"/>
          </reference>
        </references>
      </pivotArea>
    </chartFormat>
    <chartFormat chart="8" format="12">
      <pivotArea type="data" outline="0" fieldPosition="0">
        <references count="3">
          <reference field="4294967294" count="1" selected="0">
            <x v="0"/>
          </reference>
          <reference field="2" count="1" selected="0">
            <x v="0"/>
          </reference>
          <reference field="13" count="1" selected="0">
            <x v="1"/>
          </reference>
        </references>
      </pivotArea>
    </chartFormat>
    <chartFormat chart="8" format="13">
      <pivotArea type="data" outline="0" fieldPosition="0">
        <references count="3">
          <reference field="4294967294" count="1" selected="0">
            <x v="0"/>
          </reference>
          <reference field="2"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F82744-3913-4854-AD0F-DF4D9B11DE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7:B80" firstHeaderRow="1" firstDataRow="1"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Row" dataField="1" showAll="0">
      <items count="3">
        <item x="0"/>
        <item x="1"/>
        <item t="default"/>
      </items>
    </pivotField>
  </pivotFields>
  <rowFields count="1">
    <field x="13"/>
  </rowFields>
  <rowItems count="3">
    <i>
      <x/>
    </i>
    <i>
      <x v="1"/>
    </i>
    <i t="grand">
      <x/>
    </i>
  </rowItems>
  <colItems count="1">
    <i/>
  </colItems>
  <dataFields count="1">
    <dataField name="Count of Purchased Bike" fld="1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9FE5A6-5861-44EC-B453-273ED8CCB45D}" sourceName="Region">
  <pivotTables>
    <pivotTable tabId="3" name="PivotTable1"/>
    <pivotTable tabId="3" name="PivotTable2"/>
    <pivotTable tabId="3" name="PivotTable3"/>
    <pivotTable tabId="3" name="PivotTable5"/>
    <pivotTable tabId="3" name="PivotTable6"/>
  </pivotTables>
  <data>
    <tabular pivotCacheId="1969216946">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7D99866-059B-4DCD-96E0-C5CF638C50F6}" sourceName="Education">
  <pivotTables>
    <pivotTable tabId="3" name="PivotTable1"/>
    <pivotTable tabId="3" name="PivotTable2"/>
    <pivotTable tabId="3" name="PivotTable3"/>
    <pivotTable tabId="3" name="PivotTable5"/>
    <pivotTable tabId="3" name="PivotTable6"/>
  </pivotTables>
  <data>
    <tabular pivotCacheId="1969216946">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C652EF7-F2B1-467C-A0C3-9F00FD2EF9E1}" sourceName="Marital Status">
  <pivotTables>
    <pivotTable tabId="3" name="PivotTable6"/>
    <pivotTable tabId="3" name="PivotTable1"/>
    <pivotTable tabId="3" name="PivotTable2"/>
    <pivotTable tabId="3" name="PivotTable3"/>
    <pivotTable tabId="3" name="PivotTable5"/>
  </pivotTables>
  <data>
    <tabular pivotCacheId="196921694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2865F3-6A8D-4909-B023-B5A6960E346B}" cache="Slicer_Region" caption="Region" rowHeight="234950"/>
  <slicer name="Education" xr10:uid="{9637B2FF-E097-42A2-A97E-487FEF27E47E}" cache="Slicer_Education" caption="Education" rowHeight="234950"/>
  <slicer name="Marital Status" xr10:uid="{41D42637-85D3-47ED-8105-29C5023146CE}" cache="Slicer_Marital_Status" caption="Marital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1" workbookViewId="0">
      <selection activeCell="J26" sqref="J2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5FFF9-6BFA-4176-AAC9-A69907B3D7E8}">
  <dimension ref="A1:N1001"/>
  <sheetViews>
    <sheetView workbookViewId="0">
      <selection activeCell="B1" sqref="B1"/>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IF(L15&gt;54,"OLD",IF(L15&gt;=31,"Middle Age",IF(L15&lt;31,"Adolescent","Invaild")))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IF(L16&gt;54,"OLD",IF(L16&gt;=31,"Middle Age",IF(L16&lt;31,"Adolescent","Invaild")))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Middle Age</v>
      </c>
      <c r="N4" t="s">
        <v>18</v>
      </c>
    </row>
    <row r="5" spans="1:14" x14ac:dyDescent="0.3">
      <c r="A5">
        <v>24381</v>
      </c>
      <c r="B5" t="s">
        <v>37</v>
      </c>
      <c r="C5" t="s">
        <v>39</v>
      </c>
      <c r="D5" s="3">
        <v>70000</v>
      </c>
      <c r="E5">
        <v>0</v>
      </c>
      <c r="F5" t="s">
        <v>13</v>
      </c>
      <c r="G5" t="s">
        <v>21</v>
      </c>
      <c r="H5" t="s">
        <v>15</v>
      </c>
      <c r="I5">
        <v>1</v>
      </c>
      <c r="J5" t="s">
        <v>23</v>
      </c>
      <c r="K5" t="s">
        <v>24</v>
      </c>
      <c r="L5">
        <v>41</v>
      </c>
      <c r="M5" t="str">
        <f t="shared" si="0"/>
        <v>OLD</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OLD</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Middle Age</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Adolescent</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Middle Age</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OLD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Adolescent</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30</v>
      </c>
      <c r="K23" t="s">
        <v>24</v>
      </c>
      <c r="L23">
        <v>35</v>
      </c>
      <c r="M23" t="str">
        <f t="shared" si="0"/>
        <v>OLD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Middle Age</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Adolescent</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Adolescent</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Middle Age</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IF(L43&gt;54,"OLD",IF(L43&gt;=31,"Middle Age",IF(L43&lt;31,"Adolescent","Invaild")))</f>
        <v>OLD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Middle Age</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Middle Age</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OLD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Middle Age</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Middle Age</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OLD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OLD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Middle Age</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OLD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Middle Age</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Middle Age</v>
      </c>
      <c r="N52" t="s">
        <v>18</v>
      </c>
    </row>
    <row r="53" spans="1:14" x14ac:dyDescent="0.3">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Middle Age</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Adolescent</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Middle Age</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OLD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30</v>
      </c>
      <c r="K65" t="s">
        <v>24</v>
      </c>
      <c r="L65">
        <v>41</v>
      </c>
      <c r="M65" t="str">
        <f t="shared" si="0"/>
        <v>Adolescent</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Adolescent</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IF(L80&gt;54,"OLD",IF(L80&gt;=31,"Middle Age",IF(L80&lt;31,"Adolescent","Invaild")))</f>
        <v>Middle Age</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OLD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Middle Age</v>
      </c>
      <c r="N71" t="s">
        <v>18</v>
      </c>
    </row>
    <row r="72" spans="1:14" x14ac:dyDescent="0.3">
      <c r="A72">
        <v>14238</v>
      </c>
      <c r="B72" t="s">
        <v>36</v>
      </c>
      <c r="C72" t="s">
        <v>39</v>
      </c>
      <c r="D72" s="3">
        <v>120000</v>
      </c>
      <c r="E72">
        <v>0</v>
      </c>
      <c r="F72" t="s">
        <v>29</v>
      </c>
      <c r="G72" t="s">
        <v>21</v>
      </c>
      <c r="H72" t="s">
        <v>15</v>
      </c>
      <c r="I72">
        <v>4</v>
      </c>
      <c r="J72" t="s">
        <v>30</v>
      </c>
      <c r="K72" t="s">
        <v>24</v>
      </c>
      <c r="L72">
        <v>36</v>
      </c>
      <c r="M72" t="str">
        <f t="shared" si="1"/>
        <v>Adolescent</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Adolescent</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Middle Age</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Adolescent</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Middle Age</v>
      </c>
      <c r="N78" t="s">
        <v>18</v>
      </c>
    </row>
    <row r="79" spans="1:14" x14ac:dyDescent="0.3">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Adolescent</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Middle Age</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OLD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OLD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Middle Age</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Middle Age</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Middle Age</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Middle Age</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Adolescent</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30</v>
      </c>
      <c r="K97" t="s">
        <v>17</v>
      </c>
      <c r="L97">
        <v>62</v>
      </c>
      <c r="M97" t="str">
        <f t="shared" si="1"/>
        <v>Middle Age</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Middle Age</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Adolescent</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Adolescent</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OLD</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Adolescent</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OLD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Middle Age</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Middle Age</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Middle Age</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Middle Age</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OLD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OLD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Adolescent</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IF(L144&gt;54,"OLD",IF(L144&gt;=31,"Middle Age",IF(L144&lt;31,"Adolescent","Invaild")))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Middle Age</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Adolescent</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Middle Age</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Middle Age</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f t="shared" si="2"/>
        <v>OLD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Middle Age</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Middle Age</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Adolescent</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Adolescent</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Middle Age</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OLD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Adolescent</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Adolescent</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Middle Age</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OLD</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OLD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OLD</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OLD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Middle Age</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OLD</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OLD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Adolescent</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Middle Age</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Middle Age</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f t="shared" si="2"/>
        <v>Middle Age</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f t="shared" si="2"/>
        <v>Adolescent</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f t="shared" si="2"/>
        <v>Middle Age</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f t="shared" ref="M195:M258" si="3">IF(L208&gt;54,"OLD",IF(L208&gt;=31,"Middle Age",IF(L208&lt;31,"Adolescent","Invaild")))</f>
        <v>OLD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Adolescent</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Middle Age</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Middle Age</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f t="shared" si="3"/>
        <v>Adolescent</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OLD</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Adolescent</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f t="shared" si="3"/>
        <v>Adolescent</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Middle Age</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OLD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Middle Age</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Middle Age</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OLD</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Middle Age</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Adolescent</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OLD</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Adolescent</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Adolescent</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f t="shared" si="3"/>
        <v>Middle Age</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f t="shared" si="3"/>
        <v>Adolescent</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Middle Age</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OLD</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OLD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OLD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OLD</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Middle Age</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OLD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Middle Age</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Middle Age</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f t="shared" si="3"/>
        <v>Adolescent</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Middle Age</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IF(L272&gt;54,"OLD",IF(L272&gt;=31,"Middle Age",IF(L272&lt;31,"Adolescent","Invaild")))</f>
        <v>Middle Age</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f t="shared" si="4"/>
        <v>Adolescent</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Adolescent</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Middle Age</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Middle Age</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Middle Age</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OLD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OLD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Adolescent</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OLD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OLD</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Middle Age</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Middle Age</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Middle Age</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OLD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Middle Age</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Middle Age</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Adolescent</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f t="shared" si="4"/>
        <v>Adolescent</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IF(L336&gt;54,"OLD",IF(L336&gt;=31,"Middle Age",IF(L336&lt;31,"Adolescent","Invaild")))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OLD</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Adolescent</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f t="shared" si="5"/>
        <v>Middle Age</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Middle Age</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Adolescent</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Adolescent</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Middle Age</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Middle Age</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OLD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Adolescent</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Adolescent</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Middle Age</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OLD</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f t="shared" si="5"/>
        <v>OLD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Middle Age</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f t="shared" si="5"/>
        <v>Middle Age</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Adolescent</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Middle Age</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OLD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OLD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Adolescent</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Adolescent</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Middle Age</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Middle Age</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f t="shared" si="5"/>
        <v>Middle Age</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Middle Age</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OLD</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IF(L400&gt;54,"OLD",IF(L400&gt;=31,"Middle Age",IF(L400&lt;31,"Adolescent","Invaild")))</f>
        <v>Middle Age</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Middle Age</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f t="shared" si="6"/>
        <v>OLD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Middle Age</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OLD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OLD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Adolescent</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Adolescent</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f t="shared" si="6"/>
        <v>Adolescent</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f t="shared" si="6"/>
        <v>OLD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Adolescent</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Middle Age</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Middle Age</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Middle Age</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Middle Age</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Middle Age</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Middle Age</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OLD</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OLD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IF(L464&gt;54,"OLD",IF(L464&gt;=31,"Middle Age",IF(L464&lt;31,"Adolescent","Invaild")))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OLD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Adolescent</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OLD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Middle Age</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Middle Age</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OLD</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OLD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Middle Age</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OLD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OLD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Middle Age</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f t="shared" si="7"/>
        <v>Middle Age</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Adolescent</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f t="shared" si="7"/>
        <v>Middle Age</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f t="shared" si="7"/>
        <v>Adolescent</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OLD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OLD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Middle Age</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OLD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OLD</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OLD</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f t="shared" ref="M515:M578" si="8">IF(L528&gt;54,"OLD",IF(L528&gt;=31,"Middle Age",IF(L528&lt;31,"Adolescent","Invaild")))</f>
        <v>Middle Age</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Adolescent</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OLD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Adolescent</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Adolescent</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Middle Age</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OLD</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Middle Age</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f t="shared" si="8"/>
        <v>Middle Age</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Middle Age</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f t="shared" si="8"/>
        <v>Adolescent</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Middle Age</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Middle Age</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Adolescent</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f t="shared" si="8"/>
        <v>Middle Age</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OLD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Middle Age</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Middle Age</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OLD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Adolescent</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f t="shared" si="8"/>
        <v>Adolescent</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OLD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OLD</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f t="shared" si="8"/>
        <v>Adolescent</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OLD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OLD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Middle Age</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Middle Age</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Middle Age</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OLD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Adolescent</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f t="shared" si="8"/>
        <v>Middle Age</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Middle Age</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Middle Age</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f t="shared" si="8"/>
        <v>Middle Age</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OLD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IF(L592&gt;54,"OLD",IF(L592&gt;=31,"Middle Age",IF(L592&lt;31,"Adolescent","Invaild")))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f t="shared" si="9"/>
        <v>Middle Age</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OLD</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OLD</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f t="shared" si="9"/>
        <v>Middle Age</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OLD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f t="shared" si="9"/>
        <v>Middle Age</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f t="shared" si="9"/>
        <v>Adolescent</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Middle Age</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Middle Age</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Adolescent</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Middle Age</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Adolescent</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OLD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Adolescent</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OLD</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Adolescent</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OLD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Adolescent</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Middle Age</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OLD</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Middle Age</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Middle Age</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OLD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OLD</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Middle Age</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Middle Age</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Middle Age</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f t="shared" ref="M643:M706" si="10">IF(L656&gt;54,"OLD",IF(L656&gt;=31,"Middle Age",IF(L656&lt;31,"Adolescent","Invaild")))</f>
        <v>Middle Age</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OLD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Adolescent</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f t="shared" si="10"/>
        <v>Middle Age</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OLD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OLD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f t="shared" si="10"/>
        <v>Adolescent</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Middle Age</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OLD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OLD</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f t="shared" si="10"/>
        <v>Middle Age</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f t="shared" si="10"/>
        <v>Middle Age</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Middle Age</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Adolescent</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Adolescent</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Adolescent</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Middle Age</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f t="shared" si="10"/>
        <v>Middle Age</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Adolescent</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Adolescent</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OLD</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Middle Age</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OLD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OLD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OLD</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Middle Age</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OLD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OLD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Middle Age</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f t="shared" ref="M707:M770" si="11">IF(L720&gt;54,"OLD",IF(L720&gt;=31,"Middle Age",IF(L720&lt;31,"Adolescent","Invaild")))</f>
        <v>Middle Age</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OLD</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f t="shared" si="11"/>
        <v>Middle Age</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f t="shared" si="11"/>
        <v>Middle Age</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f t="shared" si="11"/>
        <v>Middle Age</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Middle Age</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Middle Age</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Adolescent</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Middle Age</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Adolescent</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Adolescent</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Middle Age</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Adolescent</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OLD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OLD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OLD</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OLD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OLD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Middle Age</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f t="shared" si="11"/>
        <v>Middle Age</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f t="shared" si="11"/>
        <v>Middle Age</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Middle Age</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Adolescent</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Middle Age</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f t="shared" si="11"/>
        <v>Middle Age</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OLD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IF(L784&gt;54,"OLD",IF(L784&gt;=31,"Middle Age",IF(L784&lt;31,"Adolescent","Invaild")))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Adolescent</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OLD</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Middle Age</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Middle Age</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Adolescent</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OLD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OLD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Adolescent</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Middle Age</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OLD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Adolescent</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Adolescent</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Middle Age</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Middle Age</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Middle Age</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OLD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Middle Age</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Middle Age</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Adolescent</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Adolescent</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Middle Age</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f t="shared" si="12"/>
        <v>Middle Age</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Middle Age</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OLD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Middle Age</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Middle Age</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Adolescent</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OLD</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Middle Age</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OLD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IF(L848&gt;54,"OLD",IF(L848&gt;=31,"Middle Age",IF(L848&lt;31,"Adolescent","Invaild")))</f>
        <v>OLD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Adolescent</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OLD</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OLD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Middle Age</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Adolescent</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f t="shared" si="13"/>
        <v>Middle Age</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Middle Age</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Middle Age</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Middle Age</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Middle Age</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OLD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OLD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Middle Age</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OLD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Adolescent</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OLD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OLD</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Middle Age</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Middle Age</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Middle Age</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OLD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Adolescent</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OLD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OLD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Middle Age</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OLD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Middle Age</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IF(L912&gt;54,"OLD",IF(L912&gt;=31,"Middle Age",IF(L912&lt;31,"Adolescent","Invaild")))</f>
        <v>Middle Age</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OLD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Middle Age</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OLD</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f t="shared" si="14"/>
        <v>Middle Age</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Middle Age</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OLD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f t="shared" si="14"/>
        <v>Middle Age</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f t="shared" si="14"/>
        <v>Adolescent</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Adolescent</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OLD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Adolescent</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f t="shared" si="14"/>
        <v>Middle Age</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Middle Age</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OLD</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Middle Age</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Middle Age</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Middle Age</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OLD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Adolescent</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Adolescent</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Middle Age</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OLD</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f t="shared" si="14"/>
        <v>OLD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OLD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OLD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Middle Age</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Middle Age</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OLD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Adolescent</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Middle Age</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IF(L976&gt;54,"OLD",IF(L976&gt;=31,"Middle Age",IF(L976&lt;31,"Adolescent","Invaild")))</f>
        <v>Middle Age</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Middle Age</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Middle Age</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OLD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OLD</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f t="shared" si="15"/>
        <v>Middle Age</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Adolescent</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f t="shared" si="15"/>
        <v>Middle Age</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f t="shared" si="15"/>
        <v>Adolescent</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f t="shared" si="15"/>
        <v>Adolescent</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f t="shared" si="15"/>
        <v>Adolescent</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Adolescent</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Adolescent</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Adolescent</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Adolescent</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Adolescent</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Adolescent</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Adolescent</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Adolescent</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f t="shared" si="15"/>
        <v>Adolescent</v>
      </c>
      <c r="N1001" t="s">
        <v>15</v>
      </c>
    </row>
  </sheetData>
  <autoFilter ref="A1:N1001" xr:uid="{AE35FFF9-6BFA-4176-AAC9-A69907B3D7E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6C0D-DDE7-404D-A1C2-012EDF4FF00C}">
  <dimension ref="A3:T80"/>
  <sheetViews>
    <sheetView zoomScale="97" zoomScaleNormal="55" workbookViewId="0">
      <selection activeCell="A23" sqref="A23"/>
    </sheetView>
  </sheetViews>
  <sheetFormatPr defaultRowHeight="14.4" x14ac:dyDescent="0.3"/>
  <cols>
    <col min="1" max="1" width="12.88671875" bestFit="1" customWidth="1"/>
    <col min="2" max="2" width="22.5546875" bestFit="1" customWidth="1"/>
    <col min="3" max="3" width="3.88671875" bestFit="1" customWidth="1"/>
    <col min="4" max="4" width="11.109375" bestFit="1" customWidth="1"/>
    <col min="18" max="18" width="25.88671875" bestFit="1" customWidth="1"/>
    <col min="21" max="21" width="21.5546875" bestFit="1" customWidth="1"/>
    <col min="23" max="23" width="9.6640625" bestFit="1" customWidth="1"/>
  </cols>
  <sheetData>
    <row r="3" spans="1:4" x14ac:dyDescent="0.3">
      <c r="A3" s="5" t="s">
        <v>44</v>
      </c>
      <c r="B3" s="5" t="s">
        <v>45</v>
      </c>
    </row>
    <row r="4" spans="1:4" x14ac:dyDescent="0.3">
      <c r="A4" s="5" t="s">
        <v>42</v>
      </c>
      <c r="B4" t="s">
        <v>18</v>
      </c>
      <c r="C4" t="s">
        <v>15</v>
      </c>
      <c r="D4" t="s">
        <v>43</v>
      </c>
    </row>
    <row r="5" spans="1:4" x14ac:dyDescent="0.3">
      <c r="A5" s="6" t="s">
        <v>38</v>
      </c>
      <c r="B5" s="4">
        <v>66428.571428571435</v>
      </c>
      <c r="C5" s="4">
        <v>66000</v>
      </c>
      <c r="D5" s="4">
        <v>66206.896551724145</v>
      </c>
    </row>
    <row r="6" spans="1:4" x14ac:dyDescent="0.3">
      <c r="A6" s="6" t="s">
        <v>39</v>
      </c>
      <c r="B6" s="4">
        <v>75384.61538461539</v>
      </c>
      <c r="C6" s="4">
        <v>70625</v>
      </c>
      <c r="D6" s="4">
        <v>73571.428571428565</v>
      </c>
    </row>
    <row r="7" spans="1:4" x14ac:dyDescent="0.3">
      <c r="A7" s="6" t="s">
        <v>43</v>
      </c>
      <c r="B7" s="4">
        <v>72250</v>
      </c>
      <c r="C7" s="4">
        <v>68387.096774193546</v>
      </c>
      <c r="D7" s="4">
        <v>70563.380281690144</v>
      </c>
    </row>
    <row r="23" spans="1:20" x14ac:dyDescent="0.3">
      <c r="A23" s="5" t="s">
        <v>46</v>
      </c>
      <c r="B23" s="5" t="s">
        <v>45</v>
      </c>
    </row>
    <row r="24" spans="1:20" x14ac:dyDescent="0.3">
      <c r="A24" s="5" t="s">
        <v>42</v>
      </c>
      <c r="B24" t="s">
        <v>18</v>
      </c>
      <c r="C24" t="s">
        <v>15</v>
      </c>
      <c r="D24" t="s">
        <v>43</v>
      </c>
    </row>
    <row r="25" spans="1:20" x14ac:dyDescent="0.3">
      <c r="A25" s="6" t="s">
        <v>16</v>
      </c>
      <c r="B25">
        <v>18</v>
      </c>
      <c r="C25">
        <v>13</v>
      </c>
      <c r="D25">
        <v>31</v>
      </c>
    </row>
    <row r="26" spans="1:20" x14ac:dyDescent="0.3">
      <c r="A26" s="6" t="s">
        <v>30</v>
      </c>
      <c r="B26">
        <v>4</v>
      </c>
      <c r="D26">
        <v>4</v>
      </c>
    </row>
    <row r="27" spans="1:20" x14ac:dyDescent="0.3">
      <c r="A27" s="6" t="s">
        <v>26</v>
      </c>
      <c r="B27">
        <v>7</v>
      </c>
      <c r="C27">
        <v>5</v>
      </c>
      <c r="D27">
        <v>12</v>
      </c>
      <c r="T27" t="s">
        <v>52</v>
      </c>
    </row>
    <row r="28" spans="1:20" x14ac:dyDescent="0.3">
      <c r="A28" s="6" t="s">
        <v>22</v>
      </c>
      <c r="B28">
        <v>4</v>
      </c>
      <c r="C28">
        <v>12</v>
      </c>
      <c r="D28">
        <v>16</v>
      </c>
    </row>
    <row r="29" spans="1:20" x14ac:dyDescent="0.3">
      <c r="A29" s="6" t="s">
        <v>23</v>
      </c>
      <c r="B29">
        <v>7</v>
      </c>
      <c r="C29">
        <v>1</v>
      </c>
      <c r="D29">
        <v>8</v>
      </c>
      <c r="T29" t="s">
        <v>53</v>
      </c>
    </row>
    <row r="30" spans="1:20" x14ac:dyDescent="0.3">
      <c r="A30" s="6" t="s">
        <v>43</v>
      </c>
      <c r="B30">
        <v>40</v>
      </c>
      <c r="C30">
        <v>31</v>
      </c>
      <c r="D30">
        <v>71</v>
      </c>
    </row>
    <row r="31" spans="1:20" x14ac:dyDescent="0.3">
      <c r="T31" t="s">
        <v>54</v>
      </c>
    </row>
    <row r="42" spans="1:18" x14ac:dyDescent="0.3">
      <c r="A42" s="5" t="s">
        <v>46</v>
      </c>
      <c r="B42" s="5" t="s">
        <v>45</v>
      </c>
    </row>
    <row r="43" spans="1:18" x14ac:dyDescent="0.3">
      <c r="A43" s="5" t="s">
        <v>42</v>
      </c>
      <c r="B43" t="s">
        <v>18</v>
      </c>
      <c r="C43" t="s">
        <v>15</v>
      </c>
      <c r="D43" t="s">
        <v>43</v>
      </c>
      <c r="R43" t="s">
        <v>51</v>
      </c>
    </row>
    <row r="44" spans="1:18" x14ac:dyDescent="0.3">
      <c r="A44" s="6" t="s">
        <v>47</v>
      </c>
      <c r="B44">
        <v>2</v>
      </c>
      <c r="C44">
        <v>2</v>
      </c>
      <c r="D44">
        <v>4</v>
      </c>
    </row>
    <row r="45" spans="1:18" x14ac:dyDescent="0.3">
      <c r="A45" s="6" t="s">
        <v>48</v>
      </c>
      <c r="B45">
        <v>28</v>
      </c>
      <c r="C45">
        <v>21</v>
      </c>
      <c r="D45">
        <v>49</v>
      </c>
    </row>
    <row r="46" spans="1:18" x14ac:dyDescent="0.3">
      <c r="A46" s="6" t="s">
        <v>49</v>
      </c>
      <c r="B46">
        <v>10</v>
      </c>
      <c r="C46">
        <v>8</v>
      </c>
      <c r="D46">
        <v>18</v>
      </c>
    </row>
    <row r="47" spans="1:18" x14ac:dyDescent="0.3">
      <c r="A47" s="6" t="s">
        <v>43</v>
      </c>
      <c r="B47">
        <v>40</v>
      </c>
      <c r="C47">
        <v>31</v>
      </c>
      <c r="D47">
        <v>71</v>
      </c>
    </row>
    <row r="60" spans="1:4" x14ac:dyDescent="0.3">
      <c r="A60" s="5" t="s">
        <v>46</v>
      </c>
      <c r="B60" s="5" t="s">
        <v>45</v>
      </c>
    </row>
    <row r="61" spans="1:4" x14ac:dyDescent="0.3">
      <c r="A61" s="5" t="s">
        <v>42</v>
      </c>
      <c r="B61" t="s">
        <v>18</v>
      </c>
      <c r="C61" t="s">
        <v>15</v>
      </c>
      <c r="D61" t="s">
        <v>43</v>
      </c>
    </row>
    <row r="62" spans="1:4" x14ac:dyDescent="0.3">
      <c r="A62" s="6" t="s">
        <v>32</v>
      </c>
      <c r="B62">
        <v>40</v>
      </c>
      <c r="C62">
        <v>31</v>
      </c>
      <c r="D62">
        <v>71</v>
      </c>
    </row>
    <row r="63" spans="1:4" x14ac:dyDescent="0.3">
      <c r="A63" s="6" t="s">
        <v>43</v>
      </c>
      <c r="B63">
        <v>40</v>
      </c>
      <c r="C63">
        <v>31</v>
      </c>
      <c r="D63">
        <v>71</v>
      </c>
    </row>
    <row r="77" spans="1:2" x14ac:dyDescent="0.3">
      <c r="A77" s="5" t="s">
        <v>42</v>
      </c>
      <c r="B77" t="s">
        <v>46</v>
      </c>
    </row>
    <row r="78" spans="1:2" x14ac:dyDescent="0.3">
      <c r="A78" s="6" t="s">
        <v>18</v>
      </c>
      <c r="B78">
        <v>40</v>
      </c>
    </row>
    <row r="79" spans="1:2" x14ac:dyDescent="0.3">
      <c r="A79" s="6" t="s">
        <v>15</v>
      </c>
      <c r="B79">
        <v>31</v>
      </c>
    </row>
    <row r="80" spans="1:2" x14ac:dyDescent="0.3">
      <c r="A80" s="6" t="s">
        <v>43</v>
      </c>
      <c r="B80">
        <v>71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99C4-9F06-4CF1-86D6-BA56F47EA04B}">
  <dimension ref="A1:Z40"/>
  <sheetViews>
    <sheetView showGridLines="0" tabSelected="1" zoomScale="49" zoomScaleNormal="49" workbookViewId="0">
      <selection activeCell="AC43" sqref="AC43"/>
    </sheetView>
  </sheetViews>
  <sheetFormatPr defaultRowHeight="14.4" x14ac:dyDescent="0.3"/>
  <cols>
    <col min="10" max="10" width="8.88671875" customWidth="1"/>
  </cols>
  <sheetData>
    <row r="1" spans="1:26" ht="14.4" customHeight="1" x14ac:dyDescent="0.3">
      <c r="A1" s="8" t="s">
        <v>55</v>
      </c>
      <c r="B1" s="8"/>
      <c r="C1" s="8"/>
      <c r="D1" s="8"/>
      <c r="E1" s="8"/>
      <c r="F1" s="8"/>
      <c r="G1" s="8"/>
      <c r="H1" s="8"/>
      <c r="I1" s="8"/>
      <c r="J1" s="8"/>
      <c r="K1" s="8"/>
      <c r="L1" s="8"/>
      <c r="M1" s="8"/>
      <c r="N1" s="8"/>
      <c r="O1" s="8"/>
      <c r="P1" s="8"/>
      <c r="Q1" s="8"/>
      <c r="R1" s="8"/>
      <c r="S1" s="8"/>
      <c r="T1" s="8"/>
      <c r="U1" s="8"/>
      <c r="V1" s="8"/>
      <c r="W1" s="8"/>
      <c r="X1" s="8"/>
      <c r="Y1" s="8"/>
      <c r="Z1" s="8"/>
    </row>
    <row r="2" spans="1:26" ht="14.4" customHeight="1" x14ac:dyDescent="0.3">
      <c r="A2" s="8"/>
      <c r="B2" s="8"/>
      <c r="C2" s="8"/>
      <c r="D2" s="8"/>
      <c r="E2" s="8"/>
      <c r="F2" s="8"/>
      <c r="G2" s="8"/>
      <c r="H2" s="8"/>
      <c r="I2" s="8"/>
      <c r="J2" s="8"/>
      <c r="K2" s="8"/>
      <c r="L2" s="8"/>
      <c r="M2" s="8"/>
      <c r="N2" s="8"/>
      <c r="O2" s="8"/>
      <c r="P2" s="8"/>
      <c r="Q2" s="8"/>
      <c r="R2" s="8"/>
      <c r="S2" s="8"/>
      <c r="T2" s="8"/>
      <c r="U2" s="8"/>
      <c r="V2" s="8"/>
      <c r="W2" s="8"/>
      <c r="X2" s="8"/>
      <c r="Y2" s="8"/>
      <c r="Z2" s="8"/>
    </row>
    <row r="3" spans="1:26" ht="14.4" customHeight="1" x14ac:dyDescent="0.3">
      <c r="A3" s="8"/>
      <c r="B3" s="8"/>
      <c r="C3" s="8"/>
      <c r="D3" s="8"/>
      <c r="E3" s="8"/>
      <c r="F3" s="8"/>
      <c r="G3" s="8"/>
      <c r="H3" s="8"/>
      <c r="I3" s="8"/>
      <c r="J3" s="8"/>
      <c r="K3" s="8"/>
      <c r="L3" s="8"/>
      <c r="M3" s="8"/>
      <c r="N3" s="8"/>
      <c r="O3" s="8"/>
      <c r="P3" s="8"/>
      <c r="Q3" s="8"/>
      <c r="R3" s="8"/>
      <c r="S3" s="8"/>
      <c r="T3" s="8"/>
      <c r="U3" s="8"/>
      <c r="V3" s="8"/>
      <c r="W3" s="8"/>
      <c r="X3" s="8"/>
      <c r="Y3" s="8"/>
      <c r="Z3" s="8"/>
    </row>
    <row r="4" spans="1:26" ht="14.4" customHeight="1" x14ac:dyDescent="0.3">
      <c r="A4" s="8"/>
      <c r="B4" s="8"/>
      <c r="C4" s="8"/>
      <c r="D4" s="8"/>
      <c r="E4" s="8"/>
      <c r="F4" s="8"/>
      <c r="G4" s="8"/>
      <c r="H4" s="8"/>
      <c r="I4" s="8"/>
      <c r="J4" s="8"/>
      <c r="K4" s="8"/>
      <c r="L4" s="8"/>
      <c r="M4" s="8"/>
      <c r="N4" s="8"/>
      <c r="O4" s="8"/>
      <c r="P4" s="8"/>
      <c r="Q4" s="8"/>
      <c r="R4" s="8"/>
      <c r="S4" s="8"/>
      <c r="T4" s="8"/>
      <c r="U4" s="8"/>
      <c r="V4" s="8"/>
      <c r="W4" s="8"/>
      <c r="X4" s="8"/>
      <c r="Y4" s="8"/>
      <c r="Z4" s="8"/>
    </row>
    <row r="5" spans="1:26" ht="33.6" customHeight="1" x14ac:dyDescent="0.3">
      <c r="A5" s="8"/>
      <c r="B5" s="8"/>
      <c r="C5" s="8"/>
      <c r="D5" s="8"/>
      <c r="E5" s="8"/>
      <c r="F5" s="8"/>
      <c r="G5" s="8"/>
      <c r="H5" s="8"/>
      <c r="I5" s="8"/>
      <c r="J5" s="8"/>
      <c r="K5" s="8"/>
      <c r="L5" s="8"/>
      <c r="M5" s="8"/>
      <c r="N5" s="8"/>
      <c r="O5" s="8"/>
      <c r="P5" s="8"/>
      <c r="Q5" s="8"/>
      <c r="R5" s="8"/>
      <c r="S5" s="8"/>
      <c r="T5" s="8"/>
      <c r="U5" s="8"/>
      <c r="V5" s="8"/>
      <c r="W5" s="8"/>
      <c r="X5" s="8"/>
      <c r="Y5" s="8"/>
      <c r="Z5" s="8"/>
    </row>
    <row r="6" spans="1:26" x14ac:dyDescent="0.3">
      <c r="A6" s="7"/>
      <c r="B6" s="7"/>
      <c r="C6" s="7"/>
      <c r="D6" s="7"/>
      <c r="E6" s="7"/>
      <c r="F6" s="7"/>
      <c r="G6" s="7"/>
      <c r="H6" s="7"/>
      <c r="I6" s="7"/>
      <c r="J6" s="7"/>
      <c r="K6" s="7"/>
      <c r="L6" s="7"/>
    </row>
    <row r="19" spans="3:3" x14ac:dyDescent="0.3">
      <c r="C19" t="s">
        <v>41</v>
      </c>
    </row>
    <row r="40" spans="3:3" x14ac:dyDescent="0.3">
      <c r="C40" t="s">
        <v>50</v>
      </c>
    </row>
  </sheetData>
  <mergeCells count="1">
    <mergeCell ref="A1:Z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Working_sheet</vt:lpstr>
      <vt:lpstr>Pivot_Table </vt:lpstr>
      <vt:lpstr>DashBoard</vt:lpstr>
      <vt:lpstr>sum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anushkaayare4@gmail.com</cp:lastModifiedBy>
  <cp:lastPrinted>2025-05-16T16:13:27Z</cp:lastPrinted>
  <dcterms:created xsi:type="dcterms:W3CDTF">2022-03-18T02:50:57Z</dcterms:created>
  <dcterms:modified xsi:type="dcterms:W3CDTF">2025-05-26T10:57:31Z</dcterms:modified>
</cp:coreProperties>
</file>